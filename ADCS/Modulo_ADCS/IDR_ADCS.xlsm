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4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5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filterPrivacy="1" codeName="ThisWorkbook"/>
  <xr:revisionPtr revIDLastSave="0" documentId="13_ncr:1_{4EAD7D4A-87F5-45C6-BD10-2950C7630D36}" xr6:coauthVersionLast="45" xr6:coauthVersionMax="45" xr10:uidLastSave="{00000000-0000-0000-0000-000000000000}"/>
  <bookViews>
    <workbookView xWindow="-28920" yWindow="-1200" windowWidth="29040" windowHeight="15840" tabRatio="879" firstSheet="7" activeTab="17" xr2:uid="{00000000-000D-0000-FFFF-FFFF00000000}"/>
  </bookViews>
  <sheets>
    <sheet name="Administration and Change Log" sheetId="1" r:id="rId1"/>
    <sheet name="Inputs_" sheetId="2" state="hidden" r:id="rId2"/>
    <sheet name="ConCORDE_Info" sheetId="32" r:id="rId3"/>
    <sheet name="Parameters" sheetId="33" r:id="rId4"/>
    <sheet name="States" sheetId="34" r:id="rId5"/>
    <sheet name="Option_default" sheetId="40" r:id="rId6"/>
    <sheet name="Summary_default" sheetId="36" r:id="rId7"/>
    <sheet name="Inputs" sheetId="31" r:id="rId8"/>
    <sheet name="Outputs" sheetId="18" r:id="rId9"/>
    <sheet name="Design Process" sheetId="9" r:id="rId10"/>
    <sheet name="OVERVIEW" sheetId="22" r:id="rId11"/>
    <sheet name="Disturbances" sheetId="13" r:id="rId12"/>
    <sheet name="Sizing" sheetId="19" r:id="rId13"/>
    <sheet name="Actuators" sheetId="23" r:id="rId14"/>
    <sheet name="Sensors" sheetId="24" r:id="rId15"/>
    <sheet name="Constants &amp; Ref" sheetId="11" r:id="rId16"/>
    <sheet name="Auxiliar Information" sheetId="10" r:id="rId17"/>
    <sheet name="Model" sheetId="29" r:id="rId18"/>
    <sheet name="Database" sheetId="30" r:id="rId19"/>
    <sheet name="Actuators (2)" sheetId="28" state="hidden" r:id="rId20"/>
    <sheet name="Sheet6" sheetId="37" r:id="rId21"/>
  </sheets>
  <externalReferences>
    <externalReference r:id="rId22"/>
  </externalReferences>
  <definedNames>
    <definedName name="_1AU">#REF!</definedName>
    <definedName name="_ConCORDE_Info_">ConCORDE_Info!$A$1:$C$7</definedName>
    <definedName name="_DomainOfExpertise_">ConCORDE_Info!$B$3</definedName>
    <definedName name="_EngineeringModel_">ConCORDE_Info!$B$2</definedName>
    <definedName name="_xlnm._FilterDatabase" localSheetId="3" hidden="1">Parameters!$A$1:$T$28</definedName>
    <definedName name="_IterationNumber_">ConCORDE_Info!$B$4</definedName>
    <definedName name="_IterationRevision_">ConCORDE_Info!$B$5</definedName>
    <definedName name="_LastModifiedOn_">ConCORDE_Info!$B$6</definedName>
    <definedName name="_Person_">ConCORDE_Info!$B$7</definedName>
    <definedName name="absolute_zero">#REF!</definedName>
    <definedName name="altitude_p">Inputs!$P$17</definedName>
    <definedName name="anscount" hidden="1">6</definedName>
    <definedName name="AOC\Att_ADCS\\">Parameters!$I$2</definedName>
    <definedName name="AOC\CTL_SYS_TYP\\">Parameters!$I$3</definedName>
    <definedName name="AOC\MAX_TEMP_ADCS\\">Parameters!$I$4</definedName>
    <definedName name="AOC\MAX_THR_ARM\\">Parameters!$I$5</definedName>
    <definedName name="AOC\MIN_TEMP_ADCS\\">Parameters!$I$6</definedName>
    <definedName name="AOC\NUM_TRH\\">Parameters!$I$7</definedName>
    <definedName name="AOC\SPN_AXS_ADCS\\">Parameters!$I$8</definedName>
    <definedName name="AOC\SPN_ROT_VEL_ADCS\\">Parameters!$I$9</definedName>
    <definedName name="AOC\THR_B_T\\">Parameters!$I$10</definedName>
    <definedName name="AOC\THR_THRU\\">Parameters!$I$11</definedName>
    <definedName name="AOC\Total_Mass_ADCS\\">Parameters!$I$12</definedName>
    <definedName name="AOC\Total_Power_AOCS\\">Parameters!$I$13</definedName>
    <definedName name="area_aero">Inputs!$P$26</definedName>
    <definedName name="area_sun">Inputs!$P$27</definedName>
    <definedName name="att_sun_pointing">'Auxiliar Information'!$D$24</definedName>
    <definedName name="attitude">OVERVIEW!$F$12</definedName>
    <definedName name="atto">#REF!</definedName>
    <definedName name="aux_fields">'Auxiliar Information'!$T$12:$U$58</definedName>
    <definedName name="Boltzmann_Constant">#REF!</definedName>
    <definedName name="centi">#REF!</definedName>
    <definedName name="central_body">Inputs!$P$16</definedName>
    <definedName name="COM\des_her\\">#REF!</definedName>
    <definedName name="COM\min_ttc_elev_ang\\">#REF!</definedName>
    <definedName name="COM\ttc_eirp\\">#REF!</definedName>
    <definedName name="COM\ttc_gt\\">#REF!</definedName>
    <definedName name="COM\ttc_mass\\">#REF!</definedName>
    <definedName name="COM\ttc_power\\">#REF!</definedName>
    <definedName name="conversion_inch2m">#REF!</definedName>
    <definedName name="cubesat">Inputs!$P$33</definedName>
    <definedName name="DBname">#REF!</definedName>
    <definedName name="ddd">#REF!</definedName>
    <definedName name="dddd">#REF!</definedName>
    <definedName name="deci">#REF!</definedName>
    <definedName name="DEG2RAD">'Constants &amp; Ref'!$G$32</definedName>
    <definedName name="deka">#REF!</definedName>
    <definedName name="density_atm_p">Inputs!$P$32</definedName>
    <definedName name="disturbance_torque_total">Disturbances!$I$16</definedName>
    <definedName name="drag_coef">Inputs!$P$21</definedName>
    <definedName name="Earth_conv_IGRF_radi">#REF!</definedName>
    <definedName name="Earth_dyn_form_factor">#REF!</definedName>
    <definedName name="Earth_equator_radi">#REF!</definedName>
    <definedName name="Earth_flattening_factor">#REF!</definedName>
    <definedName name="Earth_J2">#REF!</definedName>
    <definedName name="Earth_Mag_Moment">#REF!</definedName>
    <definedName name="Earth_mass">#REF!</definedName>
    <definedName name="Earth_mean_radi">#REF!</definedName>
    <definedName name="Earth_Mu">#REF!</definedName>
    <definedName name="Earth_obl_coeff">#REF!</definedName>
    <definedName name="Earth_pole_radi">#REF!</definedName>
    <definedName name="Earth_Radius">#REF!</definedName>
    <definedName name="Earth_rotation_rate">#REF!</definedName>
    <definedName name="Earth_Vel">#REF!</definedName>
    <definedName name="Election">'[1]Auxiliar Information'!$N$12:$Q$13</definedName>
    <definedName name="elementary_charge">#REF!</definedName>
    <definedName name="exa">#REF!</definedName>
    <definedName name="femto">#REF!</definedName>
    <definedName name="Frequency">[1]Constants!#REF!</definedName>
    <definedName name="g">#REF!</definedName>
    <definedName name="G_Universal">#REF!</definedName>
    <definedName name="giga">#REF!</definedName>
    <definedName name="GM_Earth" localSheetId="7">#REF!</definedName>
    <definedName name="GM_earth" comment="Earth standard gravitational parametre [m3/s2]">'Constants &amp; Ref'!$G$18</definedName>
    <definedName name="GM_jupiter" comment="Jupiter standard gravitational parametre [m3/s2]">'Constants &amp; Ref'!$G$21</definedName>
    <definedName name="GM_Mars" localSheetId="7">#REF!</definedName>
    <definedName name="GM_mars" comment="Mars standard gravitational parametre [m3/s2]">'Constants &amp; Ref'!$G$20</definedName>
    <definedName name="GM_mercury" comment="Mercury standard gravitational parametre [m3/s2]">'Constants &amp; Ref'!$G$16</definedName>
    <definedName name="GM_Moon" localSheetId="7">#REF!</definedName>
    <definedName name="GM_moon" comment="Moon standard gravitational parametre [m3/s2]">'Constants &amp; Ref'!$G$19</definedName>
    <definedName name="GM_saturn" comment="Saturn standard gravitational parametre [m3/s2]">'Constants &amp; Ref'!$G$22</definedName>
    <definedName name="GM_Sun" localSheetId="7">#REF!</definedName>
    <definedName name="GM_sun" comment="Sun standard gravitational parametre [m3/s2]">'Constants &amp; Ref'!$G$15</definedName>
    <definedName name="GM_values">'Constants &amp; Ref'!$D$15:$H$22</definedName>
    <definedName name="GM_venus" comment="Venus standard gravitational parametre [m3/s2]">'Constants &amp; Ref'!$G$17</definedName>
    <definedName name="gravitational_constant" comment="Gravitational constant [m3/kg/s2]">'Constants &amp; Ref'!$G$13</definedName>
    <definedName name="gravity_std" comment="Standard gravity [m/s2]">'Constants &amp; Ref'!$G$12</definedName>
    <definedName name="hecto">#REF!</definedName>
    <definedName name="HTML_CodePage" hidden="1">1252</definedName>
    <definedName name="HTML_Control" localSheetId="7" hidden="1">{"'honey'!$A$1:$M$23"}</definedName>
    <definedName name="HTML_Control" localSheetId="8" hidden="1">{"'honey'!$A$1:$M$23"}</definedName>
    <definedName name="HTML_Control" hidden="1">{"'honey'!$A$1:$M$23"}</definedName>
    <definedName name="HTML_Controlbis" localSheetId="7" hidden="1">{"'honey'!$A$1:$M$23"}</definedName>
    <definedName name="HTML_Controlbis" localSheetId="8" hidden="1">{"'honey'!$A$1:$M$23"}</definedName>
    <definedName name="HTML_Controlbis" hidden="1">{"'honey'!$A$1:$M$23"}</definedName>
    <definedName name="HTML_Description" hidden="1">""</definedName>
    <definedName name="HTML_Email" hidden="1">""</definedName>
    <definedName name="HTML_Header" hidden="1">"honey"</definedName>
    <definedName name="HTML_LastUpdate" hidden="1">"24/11/97"</definedName>
    <definedName name="HTML_LineAfter" hidden="1">TRUE</definedName>
    <definedName name="HTML_LineBefore" hidden="1">TRUE</definedName>
    <definedName name="HTML_Name" hidden="1">"Philippe Poinas"</definedName>
    <definedName name="HTML_OBDlg2" hidden="1">TRUE</definedName>
    <definedName name="HTML_OBDlg4" hidden="1">TRUE</definedName>
    <definedName name="HTML_OS" hidden="1">0</definedName>
    <definedName name="HTML_PathFile" hidden="1">"H:\philippe\etc\kermesse\y97\exceltest.html"</definedName>
    <definedName name="HTML_Title" hidden="1">"thermal"</definedName>
    <definedName name="I_max">Disturbances!$I$29</definedName>
    <definedName name="I_min">Disturbances!$I$28</definedName>
    <definedName name="inertia_m_x">Inputs!$P$22</definedName>
    <definedName name="inertia_m_y">Inputs!$P$23</definedName>
    <definedName name="inertia_m_z">Inputs!$P$24</definedName>
    <definedName name="irr_max">Inputs!$P$20</definedName>
    <definedName name="kilo">#REF!</definedName>
    <definedName name="light_year">#REF!</definedName>
    <definedName name="mag_dipole_sat_default">'Auxiliar Information'!$H$35</definedName>
    <definedName name="mag_m_cb_default">'Auxiliar Information'!$H$36</definedName>
    <definedName name="mag_m_earth" comment="Magnetic moment of the Earth [T*m3]">'Constants &amp; Ref'!$G$23</definedName>
    <definedName name="magnetic_moment_central_body">Disturbances!$I$43</definedName>
    <definedName name="Mars_mass">#REF!</definedName>
    <definedName name="Mars_mean_radi">#REF!</definedName>
    <definedName name="mass">OVERVIEW!$M$12</definedName>
    <definedName name="max_dev_default">'Auxiliar Information'!$H$37</definedName>
    <definedName name="max_slew_angle_default">'Auxiliar Information'!$H$43</definedName>
    <definedName name="mega">#REF!</definedName>
    <definedName name="micro">#REF!</definedName>
    <definedName name="milli">#REF!</definedName>
    <definedName name="min_slew_man_t_default">'Auxiliar Information'!$H$39</definedName>
    <definedName name="MIS\focus\\">Parameters!$I$14</definedName>
    <definedName name="MIS\irr_max\\">Parameters!$I$15</definedName>
    <definedName name="MIS\T_d\\">Parameters!$I$16</definedName>
    <definedName name="MIS\v_p\\">Parameters!$I$17</definedName>
    <definedName name="MIS\Z_peri\\">Parameters!$I$18</definedName>
    <definedName name="mw_angular_vel_default">'Auxiliar Information'!$H$45</definedName>
    <definedName name="mw_max_deviation_angle_default">'Auxiliar Information'!$H$44</definedName>
    <definedName name="nano">#REF!</definedName>
    <definedName name="Orb\ttc_max_dist\\">#REF!</definedName>
    <definedName name="Parameters">Parameters!$A$2:$T$28</definedName>
    <definedName name="PasteSpecial">#N/A</definedName>
    <definedName name="PasteSpecial_3">#N/A</definedName>
    <definedName name="PasteSpecial_6">#N/A</definedName>
    <definedName name="PasteSpecial_7">#N/A</definedName>
    <definedName name="PasteSpecial_8">#N/A</definedName>
    <definedName name="period">Inputs!$P$19</definedName>
    <definedName name="permeability_vacuum">#REF!</definedName>
    <definedName name="permittivity_vacuum">#REF!</definedName>
    <definedName name="peta">#REF!</definedName>
    <definedName name="pi">#REF!</definedName>
    <definedName name="piko">#REF!</definedName>
    <definedName name="Planck_Constant">#REF!</definedName>
    <definedName name="pointing_precision">Inputs!$P$25</definedName>
    <definedName name="power">OVERVIEW!$M$14</definedName>
    <definedName name="_xlnm.Print_Area" localSheetId="10">OVERVIEW!$R$17</definedName>
    <definedName name="PWR\reffac\\">Parameters!$I$19</definedName>
    <definedName name="R_earth">'Constants &amp; Ref'!$G$26</definedName>
    <definedName name="R_moon">'Constants &amp; Ref'!$G$25</definedName>
    <definedName name="R_values">'Constants &amp; Ref'!$D$25:$H$27</definedName>
    <definedName name="RAD2DEG">'Constants &amp; Ref'!$G$33</definedName>
    <definedName name="radius_p">Disturbances!$I$39</definedName>
    <definedName name="Rain_Temp">#REF!</definedName>
    <definedName name="Range_default">Option_default!$A$1:$O$17</definedName>
    <definedName name="reflectivity_factor">Inputs!$P$31</definedName>
    <definedName name="RPM2RADS">'Constants &amp; Ref'!$G$34</definedName>
    <definedName name="rw_sm">Sizing!$I$16</definedName>
    <definedName name="rw_sm_default">'Auxiliar Information'!$H$38</definedName>
    <definedName name="sat_dim_x">Inputs!$P$28</definedName>
    <definedName name="sat_dim_y">Inputs!$P$29</definedName>
    <definedName name="sat_dim_z">Inputs!$P$30</definedName>
    <definedName name="SC_SYS\ttc_data_downlink\\">#REF!</definedName>
    <definedName name="SC_SYS\ttc_data_uplink\\">#REF!</definedName>
    <definedName name="SC_SYS\ttc_error_downlink\\">#REF!</definedName>
    <definedName name="SC_SYS\ttc_error_uplink\\">#REF!</definedName>
    <definedName name="SC_SYS\ttc_freq_downlink\\">#REF!</definedName>
    <definedName name="SC_SYS\ttc_freq_uplink\\">#REF!</definedName>
    <definedName name="Solar_Flux">#REF!</definedName>
    <definedName name="solar_flux_1AU">#REF!</definedName>
    <definedName name="Solar_mass">#REF!</definedName>
    <definedName name="Solar_radius">#REF!</definedName>
    <definedName name="SolarF_earth" comment="Average solar flux [W/m2]">'Constants &amp; Ref'!$G$24</definedName>
    <definedName name="Speed_of_Light" localSheetId="7">#REF!</definedName>
    <definedName name="speed_of_light" comment="Speed of light [m/s]">'Constants &amp; Ref'!$G$14</definedName>
    <definedName name="spin_axis">OVERVIEW!$F$13</definedName>
    <definedName name="spin_rot_vel">OVERVIEW!$F$14</definedName>
    <definedName name="stabilisation">OVERVIEW!$F$16</definedName>
    <definedName name="States">States!$A$1:$G$1</definedName>
    <definedName name="Stefan_Boltzmann_Constant">#REF!</definedName>
    <definedName name="STR\drag_coef\\">Parameters!$I$20</definedName>
    <definedName name="STR\Ix\\">Parameters!$I$21</definedName>
    <definedName name="STR\Iy\\">Parameters!$I$22</definedName>
    <definedName name="STR\Iz\\">Parameters!$I$23</definedName>
    <definedName name="STR\l_x\\">Parameters!$I$24</definedName>
    <definedName name="STR\l_y\\">Parameters!$I$25</definedName>
    <definedName name="STR\l_z\\">Parameters!$I$26</definedName>
    <definedName name="STR\STR_PRY_AREA\\">Parameters!$I$27</definedName>
    <definedName name="sun_incident_ang_default">'Auxiliar Information'!$H$34</definedName>
    <definedName name="Sun_radi_1AU">#REF!</definedName>
    <definedName name="Switch">'Auxiliar Information'!$I$12:$L$13</definedName>
    <definedName name="SYS\point_acc\\">Parameters!$I$28</definedName>
    <definedName name="temp_deep_space">#REF!</definedName>
    <definedName name="temp_max">OVERVIEW!$M$16</definedName>
    <definedName name="temp_min">OVERVIEW!$M$17</definedName>
    <definedName name="tera">#REF!</definedName>
    <definedName name="test">#REF!</definedName>
    <definedName name="thrusters_arm_max">Sizing!$S$14</definedName>
    <definedName name="thrusters_b_time">Sizing!$S$13</definedName>
    <definedName name="thrusters_desaturation_t_b_default">'Auxiliar Information'!$H$46</definedName>
    <definedName name="thrusters_max_arm">Sizing!$S$14</definedName>
    <definedName name="thrusters_num">Sizing!$S$15</definedName>
    <definedName name="thrusters_slew_rate_default">'Auxiliar Information'!$H$41</definedName>
    <definedName name="thrusters_tb_slew_rate_default">'Auxiliar Information'!$H$42</definedName>
    <definedName name="thrusters_thrust">Sizing!$S$12</definedName>
    <definedName name="TTC\des_her\\">#REF!</definedName>
    <definedName name="TTC\min_ttc_elev_ang\\">#REF!</definedName>
    <definedName name="TTC\ttc_eirp\\">#REF!</definedName>
    <definedName name="TTC\ttc_gt\\">#REF!</definedName>
    <definedName name="TTC\ttc_mass\\">#REF!</definedName>
    <definedName name="TTC\ttc_power\\">#REF!</definedName>
    <definedName name="velocity_p">Inputs!$P$18</definedName>
    <definedName name="yocto">#REF!</definedName>
    <definedName name="yotta">#REF!</definedName>
    <definedName name="zepto">#REF!</definedName>
    <definedName name="zetta">#REF!</definedName>
  </definedNames>
  <calcPr calcId="191029"/>
  <pivotCaches>
    <pivotCache cacheId="0" r:id="rId23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1" i="13" l="1"/>
  <c r="S15" i="19"/>
  <c r="I2" i="33" l="1"/>
  <c r="I3" i="33"/>
  <c r="I4" i="33"/>
  <c r="I5" i="33"/>
  <c r="I6" i="33"/>
  <c r="I7" i="33"/>
  <c r="I8" i="33"/>
  <c r="I9" i="33"/>
  <c r="I10" i="33"/>
  <c r="I11" i="33"/>
  <c r="I12" i="33"/>
  <c r="I13" i="33"/>
  <c r="I14" i="33"/>
  <c r="I15" i="33"/>
  <c r="I16" i="33"/>
  <c r="I17" i="33"/>
  <c r="I18" i="33"/>
  <c r="I19" i="33"/>
  <c r="I20" i="33"/>
  <c r="I21" i="33"/>
  <c r="I22" i="33"/>
  <c r="I23" i="33"/>
  <c r="I24" i="33"/>
  <c r="I25" i="33"/>
  <c r="I26" i="33"/>
  <c r="I27" i="33"/>
  <c r="I28" i="33"/>
  <c r="F11" i="40" s="1"/>
  <c r="S14" i="19"/>
  <c r="I43" i="13"/>
  <c r="U46" i="30" l="1"/>
  <c r="U45" i="30"/>
  <c r="U44" i="30"/>
  <c r="Q32" i="30"/>
  <c r="Q22" i="30"/>
  <c r="N21" i="30"/>
  <c r="Q20" i="30"/>
  <c r="N18" i="30"/>
  <c r="N17" i="30"/>
  <c r="N16" i="30"/>
  <c r="N15" i="30"/>
  <c r="N13" i="30"/>
  <c r="N9" i="30"/>
  <c r="N7" i="30"/>
  <c r="Q4" i="30"/>
  <c r="O25" i="10"/>
  <c r="O24" i="10"/>
  <c r="O23" i="10"/>
  <c r="G34" i="11"/>
  <c r="G33" i="11"/>
  <c r="G32" i="11"/>
  <c r="P35" i="24"/>
  <c r="O35" i="24"/>
  <c r="N35" i="24"/>
  <c r="M35" i="24"/>
  <c r="L35" i="24"/>
  <c r="I35" i="24"/>
  <c r="H35" i="24"/>
  <c r="K35" i="24" s="1"/>
  <c r="G35" i="24"/>
  <c r="F35" i="24"/>
  <c r="E35" i="24"/>
  <c r="P32" i="24"/>
  <c r="O32" i="24"/>
  <c r="N32" i="24"/>
  <c r="M32" i="24"/>
  <c r="L32" i="24"/>
  <c r="I32" i="24"/>
  <c r="F51" i="22" s="1"/>
  <c r="H32" i="24"/>
  <c r="F53" i="22" s="1"/>
  <c r="G32" i="24"/>
  <c r="F52" i="22" s="1"/>
  <c r="F32" i="24"/>
  <c r="E32" i="24"/>
  <c r="F50" i="22" s="1"/>
  <c r="S29" i="24"/>
  <c r="R29" i="24"/>
  <c r="Q29" i="24"/>
  <c r="P29" i="24"/>
  <c r="O29" i="24"/>
  <c r="N29" i="24"/>
  <c r="M29" i="24"/>
  <c r="L29" i="24"/>
  <c r="I29" i="24"/>
  <c r="F44" i="22" s="1"/>
  <c r="H29" i="24"/>
  <c r="G29" i="24"/>
  <c r="F29" i="24"/>
  <c r="E29" i="24"/>
  <c r="Q26" i="24"/>
  <c r="P26" i="24"/>
  <c r="O26" i="24"/>
  <c r="N26" i="24"/>
  <c r="M26" i="24"/>
  <c r="L26" i="24"/>
  <c r="I26" i="24"/>
  <c r="F34" i="22" s="1"/>
  <c r="H26" i="24"/>
  <c r="G26" i="24"/>
  <c r="F26" i="24"/>
  <c r="E26" i="24"/>
  <c r="R23" i="24"/>
  <c r="Q23" i="24"/>
  <c r="P23" i="24"/>
  <c r="O23" i="24"/>
  <c r="N23" i="24"/>
  <c r="M23" i="24"/>
  <c r="L23" i="24"/>
  <c r="I23" i="24"/>
  <c r="H23" i="24"/>
  <c r="G23" i="24"/>
  <c r="F23" i="24"/>
  <c r="E23" i="24"/>
  <c r="T20" i="24"/>
  <c r="S20" i="24"/>
  <c r="R20" i="24"/>
  <c r="Q20" i="24"/>
  <c r="P20" i="24"/>
  <c r="O20" i="24"/>
  <c r="N20" i="24"/>
  <c r="M20" i="24"/>
  <c r="L20" i="24"/>
  <c r="I20" i="24"/>
  <c r="M39" i="22" s="1"/>
  <c r="H20" i="24"/>
  <c r="G20" i="24"/>
  <c r="F20" i="24"/>
  <c r="E20" i="24"/>
  <c r="T17" i="24"/>
  <c r="S17" i="24"/>
  <c r="R17" i="24"/>
  <c r="Q17" i="24"/>
  <c r="P17" i="24"/>
  <c r="O17" i="24"/>
  <c r="N17" i="24"/>
  <c r="M17" i="24"/>
  <c r="L17" i="24"/>
  <c r="I17" i="24"/>
  <c r="M44" i="22" s="1"/>
  <c r="H17" i="24"/>
  <c r="G17" i="24"/>
  <c r="F17" i="24"/>
  <c r="E17" i="24"/>
  <c r="T14" i="24"/>
  <c r="S14" i="24"/>
  <c r="R14" i="24"/>
  <c r="Q14" i="24"/>
  <c r="P14" i="24"/>
  <c r="O14" i="24"/>
  <c r="N14" i="24"/>
  <c r="M14" i="24"/>
  <c r="L14" i="24"/>
  <c r="I14" i="24"/>
  <c r="H14" i="24"/>
  <c r="G14" i="24"/>
  <c r="F14" i="24"/>
  <c r="E14" i="24"/>
  <c r="P23" i="23"/>
  <c r="O23" i="23"/>
  <c r="N23" i="23"/>
  <c r="M23" i="23"/>
  <c r="L23" i="23"/>
  <c r="I23" i="23"/>
  <c r="H23" i="23"/>
  <c r="G23" i="23"/>
  <c r="F23" i="23"/>
  <c r="E23" i="23"/>
  <c r="T20" i="23"/>
  <c r="S20" i="23"/>
  <c r="R20" i="23"/>
  <c r="Q20" i="23"/>
  <c r="P20" i="23"/>
  <c r="O20" i="23"/>
  <c r="N20" i="23"/>
  <c r="M20" i="23"/>
  <c r="L20" i="23"/>
  <c r="I20" i="23"/>
  <c r="H20" i="23"/>
  <c r="G20" i="23"/>
  <c r="F20" i="23"/>
  <c r="E20" i="23"/>
  <c r="S17" i="23"/>
  <c r="R17" i="23"/>
  <c r="Q17" i="23"/>
  <c r="P17" i="23"/>
  <c r="O17" i="23"/>
  <c r="N17" i="23"/>
  <c r="M17" i="23"/>
  <c r="L17" i="23"/>
  <c r="I17" i="23"/>
  <c r="H17" i="23"/>
  <c r="G17" i="23"/>
  <c r="F17" i="23"/>
  <c r="E17" i="23"/>
  <c r="S14" i="23"/>
  <c r="R14" i="23"/>
  <c r="Q14" i="23"/>
  <c r="P14" i="23"/>
  <c r="O14" i="23"/>
  <c r="N14" i="23"/>
  <c r="M14" i="23"/>
  <c r="L14" i="23"/>
  <c r="I14" i="23"/>
  <c r="F22" i="22" s="1"/>
  <c r="H14" i="23"/>
  <c r="G14" i="23"/>
  <c r="F14" i="23"/>
  <c r="E14" i="23"/>
  <c r="S34" i="19"/>
  <c r="I34" i="19"/>
  <c r="S33" i="19"/>
  <c r="I33" i="19"/>
  <c r="I32" i="19"/>
  <c r="I31" i="19"/>
  <c r="S30" i="19"/>
  <c r="S25" i="19" s="1"/>
  <c r="S28" i="19"/>
  <c r="S29" i="19" s="1"/>
  <c r="S27" i="19"/>
  <c r="S24" i="19"/>
  <c r="S19" i="19" s="1"/>
  <c r="S22" i="19"/>
  <c r="S23" i="19" s="1"/>
  <c r="S20" i="19"/>
  <c r="I20" i="19"/>
  <c r="S18" i="19"/>
  <c r="I18" i="19"/>
  <c r="I16" i="19"/>
  <c r="J27" i="18"/>
  <c r="I50" i="13"/>
  <c r="I49" i="13"/>
  <c r="I42" i="13"/>
  <c r="I41" i="13"/>
  <c r="I40" i="13"/>
  <c r="I37" i="13"/>
  <c r="I38" i="13" s="1"/>
  <c r="I33" i="13"/>
  <c r="I32" i="13"/>
  <c r="I31" i="13"/>
  <c r="I30" i="13"/>
  <c r="I27" i="13"/>
  <c r="I26" i="13"/>
  <c r="I25" i="13"/>
  <c r="I24" i="13"/>
  <c r="I23" i="13"/>
  <c r="I22" i="13"/>
  <c r="I20" i="13"/>
  <c r="F39" i="22"/>
  <c r="M34" i="22"/>
  <c r="M22" i="22"/>
  <c r="F17" i="22"/>
  <c r="J24" i="18"/>
  <c r="J21" i="18"/>
  <c r="J20" i="18"/>
  <c r="J19" i="18"/>
  <c r="J18" i="18"/>
  <c r="H17" i="2"/>
  <c r="E13" i="28"/>
  <c r="E10" i="28"/>
  <c r="J35" i="24" l="1"/>
  <c r="E33" i="24"/>
  <c r="J29" i="24"/>
  <c r="F45" i="22" s="1"/>
  <c r="K14" i="23"/>
  <c r="F24" i="22" s="1"/>
  <c r="K17" i="24"/>
  <c r="M46" i="22" s="1"/>
  <c r="K26" i="24"/>
  <c r="F36" i="22" s="1"/>
  <c r="E18" i="24"/>
  <c r="M38" i="22" s="1"/>
  <c r="J23" i="24"/>
  <c r="F40" i="22" s="1"/>
  <c r="K17" i="23"/>
  <c r="F29" i="22" s="1"/>
  <c r="E27" i="24"/>
  <c r="F43" i="22" s="1"/>
  <c r="K14" i="24"/>
  <c r="M36" i="22" s="1"/>
  <c r="K29" i="24"/>
  <c r="F46" i="22" s="1"/>
  <c r="M17" i="22"/>
  <c r="J22" i="18" s="1"/>
  <c r="J14" i="23"/>
  <c r="F23" i="22" s="1"/>
  <c r="J23" i="23"/>
  <c r="J17" i="24"/>
  <c r="M45" i="22" s="1"/>
  <c r="J26" i="24"/>
  <c r="F35" i="22" s="1"/>
  <c r="J32" i="24"/>
  <c r="J20" i="23"/>
  <c r="M23" i="22" s="1"/>
  <c r="E15" i="24"/>
  <c r="M43" i="22" s="1"/>
  <c r="J20" i="24"/>
  <c r="M40" i="22" s="1"/>
  <c r="E24" i="24"/>
  <c r="F33" i="22" s="1"/>
  <c r="E15" i="23"/>
  <c r="F26" i="22" s="1"/>
  <c r="K20" i="23"/>
  <c r="M24" i="22" s="1"/>
  <c r="K20" i="24"/>
  <c r="M41" i="22" s="1"/>
  <c r="F27" i="22"/>
  <c r="E12" i="23"/>
  <c r="F21" i="22" s="1"/>
  <c r="J17" i="23"/>
  <c r="F28" i="22" s="1"/>
  <c r="E18" i="23"/>
  <c r="M21" i="22" s="1"/>
  <c r="E21" i="23"/>
  <c r="J14" i="24"/>
  <c r="M35" i="22" s="1"/>
  <c r="E21" i="24"/>
  <c r="F38" i="22" s="1"/>
  <c r="K32" i="24"/>
  <c r="K23" i="23"/>
  <c r="E12" i="24"/>
  <c r="M33" i="22" s="1"/>
  <c r="K23" i="24"/>
  <c r="F41" i="22" s="1"/>
  <c r="M16" i="22"/>
  <c r="J23" i="18" s="1"/>
  <c r="E30" i="24"/>
  <c r="S13" i="19"/>
  <c r="J26" i="18" s="1"/>
  <c r="I39" i="13"/>
  <c r="I13" i="13"/>
  <c r="I28" i="13"/>
  <c r="O27" i="10" s="1"/>
  <c r="I29" i="13"/>
  <c r="O26" i="10" s="1"/>
  <c r="I19" i="19" s="1"/>
  <c r="I17" i="19" s="1"/>
  <c r="I15" i="13"/>
  <c r="M14" i="22" l="1"/>
  <c r="J17" i="18" s="1"/>
  <c r="M12" i="22"/>
  <c r="J16" i="18" s="1"/>
  <c r="S21" i="19"/>
  <c r="I12" i="13"/>
  <c r="I16" i="13" s="1"/>
  <c r="I14" i="13"/>
  <c r="M14" i="13" l="1"/>
  <c r="S16" i="19"/>
  <c r="N14" i="13"/>
  <c r="N13" i="13"/>
  <c r="N12" i="13"/>
  <c r="N15" i="13"/>
  <c r="M12" i="13"/>
  <c r="I13" i="19"/>
  <c r="S32" i="19" s="1"/>
  <c r="S31" i="19" s="1"/>
  <c r="M13" i="13"/>
  <c r="I25" i="19"/>
  <c r="S17" i="19"/>
  <c r="I14" i="19"/>
  <c r="I30" i="19" s="1"/>
  <c r="S26" i="19" s="1"/>
  <c r="M16" i="13"/>
  <c r="I15" i="19"/>
  <c r="M15" i="13"/>
  <c r="S12" i="19" l="1"/>
  <c r="J25" i="18" s="1"/>
  <c r="I12" i="19"/>
</calcChain>
</file>

<file path=xl/sharedStrings.xml><?xml version="1.0" encoding="utf-8"?>
<sst xmlns="http://schemas.openxmlformats.org/spreadsheetml/2006/main" count="2367" uniqueCount="885">
  <si>
    <t>Administration and Change Log</t>
  </si>
  <si>
    <t>CHANGE LOG</t>
  </si>
  <si>
    <t>Version</t>
  </si>
  <si>
    <t>Date</t>
  </si>
  <si>
    <t>Change Description</t>
  </si>
  <si>
    <t>Responsible Name</t>
  </si>
  <si>
    <t>Modified Sheet(s)</t>
  </si>
  <si>
    <t>Remarks</t>
  </si>
  <si>
    <t>PROJECT NAME</t>
  </si>
  <si>
    <t>SUBSYSTEM RESPONSIBLE</t>
  </si>
  <si>
    <t>PROJECT INITIAL DATE</t>
  </si>
  <si>
    <t>PROJECT FINAL DATE</t>
  </si>
  <si>
    <t>PROJECT PHASE</t>
  </si>
  <si>
    <t>Inputs</t>
  </si>
  <si>
    <t>Parameter</t>
  </si>
  <si>
    <t>Linked Value</t>
  </si>
  <si>
    <t>Manual Value</t>
  </si>
  <si>
    <t>Switch</t>
  </si>
  <si>
    <t>Cell Name</t>
  </si>
  <si>
    <t>Used Value</t>
  </si>
  <si>
    <t>Units</t>
  </si>
  <si>
    <t>Source</t>
  </si>
  <si>
    <t>Phase 0</t>
  </si>
  <si>
    <t>Phase A</t>
  </si>
  <si>
    <t>Phase B</t>
  </si>
  <si>
    <t>Phase C</t>
  </si>
  <si>
    <t>Phase D</t>
  </si>
  <si>
    <t>Phase E</t>
  </si>
  <si>
    <t>Linked</t>
  </si>
  <si>
    <t>Manual</t>
  </si>
  <si>
    <t>Auxiliar Information</t>
  </si>
  <si>
    <t>Phase F</t>
  </si>
  <si>
    <t>PROJECT PHASES</t>
  </si>
  <si>
    <t>SWITCH OPTIONS</t>
  </si>
  <si>
    <t>Constants</t>
  </si>
  <si>
    <t>-</t>
  </si>
  <si>
    <t>Value</t>
  </si>
  <si>
    <t>ELECTION OPTIONS</t>
  </si>
  <si>
    <t>Yes</t>
  </si>
  <si>
    <t>No</t>
  </si>
  <si>
    <t>Hz</t>
  </si>
  <si>
    <t>W</t>
  </si>
  <si>
    <t>AOC</t>
  </si>
  <si>
    <t>INS</t>
  </si>
  <si>
    <t>COM</t>
  </si>
  <si>
    <t>PWR</t>
  </si>
  <si>
    <t>PRO</t>
  </si>
  <si>
    <t>TRA</t>
  </si>
  <si>
    <t>THE</t>
  </si>
  <si>
    <t>STR</t>
  </si>
  <si>
    <t>LAU</t>
  </si>
  <si>
    <t>SYS</t>
  </si>
  <si>
    <t>Outputs</t>
  </si>
  <si>
    <t>CDF MODULE - AOCS</t>
  </si>
  <si>
    <t>CONSTANT</t>
  </si>
  <si>
    <t>m3/s2</t>
  </si>
  <si>
    <t>m3/kg/s2</t>
  </si>
  <si>
    <t>Gravitational constant</t>
  </si>
  <si>
    <t>GM_earth</t>
  </si>
  <si>
    <t>m/s</t>
  </si>
  <si>
    <t>speed_of_light</t>
  </si>
  <si>
    <t>gravitational_constant</t>
  </si>
  <si>
    <t>Speed of light</t>
  </si>
  <si>
    <t>VALUE</t>
  </si>
  <si>
    <t>DIMENSIONS</t>
  </si>
  <si>
    <t>DESCRIPTION</t>
  </si>
  <si>
    <t>GM_moon</t>
  </si>
  <si>
    <t>GM_mars</t>
  </si>
  <si>
    <t>GM_sun</t>
  </si>
  <si>
    <t>GM_mercury</t>
  </si>
  <si>
    <t>GM_venus</t>
  </si>
  <si>
    <t>GM_jupiter</t>
  </si>
  <si>
    <t>GM_saturn</t>
  </si>
  <si>
    <t>mag_m_earth</t>
  </si>
  <si>
    <t>T*m3</t>
  </si>
  <si>
    <t>https://en.wikipedia.org/wiki/Standard_gravitational_parameter</t>
  </si>
  <si>
    <t>https://physics.nist.gov/cuu/Constants/Table/allascii.txt</t>
  </si>
  <si>
    <t>Sun</t>
  </si>
  <si>
    <t>Mercury</t>
  </si>
  <si>
    <t>Venus</t>
  </si>
  <si>
    <t>Earth</t>
  </si>
  <si>
    <t>Moon</t>
  </si>
  <si>
    <t>Mars</t>
  </si>
  <si>
    <t>Jupiter</t>
  </si>
  <si>
    <t>Saturn</t>
  </si>
  <si>
    <t>[SMAD]</t>
  </si>
  <si>
    <t>[1]</t>
  </si>
  <si>
    <t>[2]</t>
  </si>
  <si>
    <t>G</t>
  </si>
  <si>
    <t>c</t>
  </si>
  <si>
    <t>g</t>
  </si>
  <si>
    <t>μ</t>
  </si>
  <si>
    <t>SOURCE</t>
  </si>
  <si>
    <t>Average solar flux</t>
  </si>
  <si>
    <t>W/m2</t>
  </si>
  <si>
    <t>SolarF_earth</t>
  </si>
  <si>
    <t>Standard gravitational parametre</t>
  </si>
  <si>
    <t>Magnetic moment</t>
  </si>
  <si>
    <t>KEY</t>
  </si>
  <si>
    <t>ACCESSED</t>
  </si>
  <si>
    <t>gravity_std</t>
  </si>
  <si>
    <t>Standard gravity</t>
  </si>
  <si>
    <t>m/s2</t>
  </si>
  <si>
    <r>
      <t xml:space="preserve">LARSON, Wiley J.; WERTZ, James Richard. </t>
    </r>
    <r>
      <rPr>
        <i/>
        <sz val="11"/>
        <color theme="1"/>
        <rFont val="Segoe UI"/>
        <family val="2"/>
        <scheme val="minor"/>
      </rPr>
      <t>Space mission analysis and design</t>
    </r>
    <r>
      <rPr>
        <sz val="11"/>
        <color theme="1"/>
        <rFont val="Segoe UI"/>
        <family val="2"/>
        <scheme val="minor"/>
      </rPr>
      <t>. Microcosm, Inc., Torrance, CA (US), 1992.</t>
    </r>
  </si>
  <si>
    <t>REMARKS</t>
  </si>
  <si>
    <t>ENVIRONMENT</t>
  </si>
  <si>
    <t>Periapsis radius</t>
  </si>
  <si>
    <t>Central body</t>
  </si>
  <si>
    <t>m^3/s^2</t>
  </si>
  <si>
    <t>Periapsis velocity</t>
  </si>
  <si>
    <t>m</t>
  </si>
  <si>
    <t>kg/m^3</t>
  </si>
  <si>
    <t>Periapsis atm density</t>
  </si>
  <si>
    <t>Atmospheric density at periapsis</t>
  </si>
  <si>
    <t>Central body of the orbit</t>
  </si>
  <si>
    <t>Standard gravitational parameter of the central body</t>
  </si>
  <si>
    <t>Minimum distance to the centre of the central body</t>
  </si>
  <si>
    <t>W/m^2</t>
  </si>
  <si>
    <t>central_body</t>
  </si>
  <si>
    <t>ORB</t>
  </si>
  <si>
    <t>radius_p</t>
  </si>
  <si>
    <t>velocity_p</t>
  </si>
  <si>
    <t>density_atm_p</t>
  </si>
  <si>
    <t>Sun incident angle</t>
  </si>
  <si>
    <t>deg</t>
  </si>
  <si>
    <t>Centre of gravity</t>
  </si>
  <si>
    <t>CoG</t>
  </si>
  <si>
    <t>CoSP</t>
  </si>
  <si>
    <t>Reflectivity factor</t>
  </si>
  <si>
    <t>CNF?</t>
  </si>
  <si>
    <t>m^2</t>
  </si>
  <si>
    <t>Area projected in solar direction</t>
  </si>
  <si>
    <t>Solar dir proj area</t>
  </si>
  <si>
    <t>Magnetic dipole satellite</t>
  </si>
  <si>
    <t>Residual magnetic dipole of the satellite</t>
  </si>
  <si>
    <t>Gravity gradient</t>
  </si>
  <si>
    <t>Solar pressure</t>
  </si>
  <si>
    <t>Magnetic</t>
  </si>
  <si>
    <t>Aerodynamic</t>
  </si>
  <si>
    <t>Drag coefficient</t>
  </si>
  <si>
    <t>Projected area in flight dir</t>
  </si>
  <si>
    <t>Area projected in flight direction</t>
  </si>
  <si>
    <t>CoAP</t>
  </si>
  <si>
    <t>%</t>
  </si>
  <si>
    <t>i</t>
  </si>
  <si>
    <t>q</t>
  </si>
  <si>
    <t>θ</t>
  </si>
  <si>
    <t>Centre of solar pressure</t>
  </si>
  <si>
    <t>Centre of aero pressure</t>
  </si>
  <si>
    <t>Moment of inertia in x axis</t>
  </si>
  <si>
    <t>Moment of inertia in y axis</t>
  </si>
  <si>
    <t>Moment of inertia in z axis</t>
  </si>
  <si>
    <t>Minimum moment of inertia</t>
  </si>
  <si>
    <t>Maximum moment of inertia</t>
  </si>
  <si>
    <t>Torque</t>
  </si>
  <si>
    <t>Relative</t>
  </si>
  <si>
    <t>Maximum solar flux. Default is average at the Earth</t>
  </si>
  <si>
    <t>Maximum velocity, usually at periapsis</t>
  </si>
  <si>
    <t>solar_flux_max</t>
  </si>
  <si>
    <t>drag_coef</t>
  </si>
  <si>
    <t>inertia_moment_x</t>
  </si>
  <si>
    <t>inertia_moment_y</t>
  </si>
  <si>
    <t>inertia_moment_z</t>
  </si>
  <si>
    <t>CoSP - CoG</t>
  </si>
  <si>
    <t>CoAP - CoG</t>
  </si>
  <si>
    <t>Centre of aerodynamic pressure</t>
  </si>
  <si>
    <t>Moment arm for aerodynamic forces</t>
  </si>
  <si>
    <t>Moment arm for solar radiation torques</t>
  </si>
  <si>
    <t>N·m</t>
  </si>
  <si>
    <t>Parametre</t>
  </si>
  <si>
    <t>SM</t>
  </si>
  <si>
    <t>Sensors</t>
  </si>
  <si>
    <t>kg</t>
  </si>
  <si>
    <t>N</t>
  </si>
  <si>
    <t>s</t>
  </si>
  <si>
    <t>Security margin for disturbances</t>
  </si>
  <si>
    <t>kg·m^2</t>
  </si>
  <si>
    <t>THRUSTERS</t>
  </si>
  <si>
    <t>Magnetic moment of the central body (Earth)</t>
  </si>
  <si>
    <t>T·m^3</t>
  </si>
  <si>
    <t>A·m^2</t>
  </si>
  <si>
    <t>period</t>
  </si>
  <si>
    <t>temp_max</t>
  </si>
  <si>
    <t>temp_min</t>
  </si>
  <si>
    <t>degC</t>
  </si>
  <si>
    <t>pointing_precision</t>
  </si>
  <si>
    <t>cubesat</t>
  </si>
  <si>
    <t>[bool]</t>
  </si>
  <si>
    <t>area_proj_aero</t>
  </si>
  <si>
    <t>area_proj_sun</t>
  </si>
  <si>
    <t>Overview</t>
  </si>
  <si>
    <t>Mass</t>
  </si>
  <si>
    <t>Power</t>
  </si>
  <si>
    <t>ACTUATORS</t>
  </si>
  <si>
    <t>Reaction Wheels</t>
  </si>
  <si>
    <t>SENSORS</t>
  </si>
  <si>
    <t>Momentum Wheels</t>
  </si>
  <si>
    <t>Magnetorquers</t>
  </si>
  <si>
    <t>Thrusters</t>
  </si>
  <si>
    <t>Orientation</t>
  </si>
  <si>
    <t>Pointing precision</t>
  </si>
  <si>
    <t>Stabilisation</t>
  </si>
  <si>
    <t>Name</t>
  </si>
  <si>
    <t>Magnetometres</t>
  </si>
  <si>
    <t>CHARACTERISTICS</t>
  </si>
  <si>
    <t>GNSS</t>
  </si>
  <si>
    <t>Earth Sensors</t>
  </si>
  <si>
    <t>Star Sensors</t>
  </si>
  <si>
    <t>Sun Sensors</t>
  </si>
  <si>
    <t>N·m·s</t>
  </si>
  <si>
    <t>Momentum</t>
  </si>
  <si>
    <t>Disturbances torque</t>
  </si>
  <si>
    <t>Thrust</t>
  </si>
  <si>
    <t>MAGNETORQUERS</t>
  </si>
  <si>
    <t>Sizing</t>
  </si>
  <si>
    <t>Spin rotation</t>
  </si>
  <si>
    <t>rad/s</t>
  </si>
  <si>
    <t>Aero pressure arm</t>
  </si>
  <si>
    <t>Solar pressure arm</t>
  </si>
  <si>
    <t>Reflectivity factor, in [0,1]</t>
  </si>
  <si>
    <t>[3]</t>
  </si>
  <si>
    <r>
      <t xml:space="preserve">LEY, Wilfried; WITTMANN, Klaus; HALLMANN, Willi (ed.). </t>
    </r>
    <r>
      <rPr>
        <i/>
        <sz val="11"/>
        <color theme="1"/>
        <rFont val="Segoe UI"/>
        <family val="2"/>
        <scheme val="minor"/>
      </rPr>
      <t>Handbook of space technology</t>
    </r>
    <r>
      <rPr>
        <sz val="11"/>
        <color theme="1"/>
        <rFont val="Segoe UI"/>
        <family val="2"/>
        <scheme val="minor"/>
      </rPr>
      <t>. John Wiley &amp; Sons, 2009.</t>
    </r>
  </si>
  <si>
    <t>Disturbance torques</t>
  </si>
  <si>
    <t>ATTITUDE</t>
  </si>
  <si>
    <t>Nadir pointing</t>
  </si>
  <si>
    <t>Sun pointing</t>
  </si>
  <si>
    <t>Spinner</t>
  </si>
  <si>
    <t>Precessing Spinner</t>
  </si>
  <si>
    <t>Fixed</t>
  </si>
  <si>
    <t>STABILISATION</t>
  </si>
  <si>
    <t>1-axis</t>
  </si>
  <si>
    <t>3-axis</t>
  </si>
  <si>
    <t>Minimum slew manoeuvre duration</t>
  </si>
  <si>
    <t>Maximum slew angle</t>
  </si>
  <si>
    <t>Maximum angular deviation</t>
  </si>
  <si>
    <t>Magnetic dipole</t>
  </si>
  <si>
    <t>true</t>
  </si>
  <si>
    <t>Arm</t>
  </si>
  <si>
    <t>Thrust for disturbance rejection</t>
  </si>
  <si>
    <t>Torque for disturbance rejection</t>
  </si>
  <si>
    <t>Torque for slewing manoeuvre</t>
  </si>
  <si>
    <t>Total burning time</t>
  </si>
  <si>
    <t>Number of times</t>
  </si>
  <si>
    <t>Thrust for bias momentum system (MW)</t>
  </si>
  <si>
    <t>Thrust for zero momentum system (RW)</t>
  </si>
  <si>
    <t>Thrust for momentum discharge (desaturation)</t>
  </si>
  <si>
    <t>Burning time</t>
  </si>
  <si>
    <t>Momentum RW</t>
  </si>
  <si>
    <t>SATELLITE</t>
  </si>
  <si>
    <t>Actuators</t>
  </si>
  <si>
    <t>min</t>
  </si>
  <si>
    <t>RAD2DEG</t>
  </si>
  <si>
    <t>DEG2RAD</t>
  </si>
  <si>
    <t>UNIT CONVERSION</t>
  </si>
  <si>
    <t>DEFAULT VALUES</t>
  </si>
  <si>
    <t>Magnetic dipole of satellite</t>
  </si>
  <si>
    <t>Magnetic moment of central body</t>
  </si>
  <si>
    <t>Maximum deviation</t>
  </si>
  <si>
    <t>Disturbance torque security margin for RW</t>
  </si>
  <si>
    <t>AXIS</t>
  </si>
  <si>
    <t>X</t>
  </si>
  <si>
    <t>Y</t>
  </si>
  <si>
    <t>Z</t>
  </si>
  <si>
    <t>Inertia moment</t>
  </si>
  <si>
    <t>Thruster arm</t>
  </si>
  <si>
    <t>H_MW</t>
  </si>
  <si>
    <t>Wheel mass</t>
  </si>
  <si>
    <t>Wheel radius</t>
  </si>
  <si>
    <t>Angular velocity</t>
  </si>
  <si>
    <t>rpm</t>
  </si>
  <si>
    <t>RPM2RADS</t>
  </si>
  <si>
    <t>Supplier</t>
  </si>
  <si>
    <t>T_max</t>
  </si>
  <si>
    <t>T_min</t>
  </si>
  <si>
    <t>dim_x</t>
  </si>
  <si>
    <t>dim_y</t>
  </si>
  <si>
    <t>dim_z</t>
  </si>
  <si>
    <t>p1</t>
  </si>
  <si>
    <t>p2</t>
  </si>
  <si>
    <t>p3</t>
  </si>
  <si>
    <t>p4</t>
  </si>
  <si>
    <t>mm</t>
  </si>
  <si>
    <t>Type</t>
  </si>
  <si>
    <t>Maximum temperature</t>
  </si>
  <si>
    <t>Minimum temperature</t>
  </si>
  <si>
    <t>Axis</t>
  </si>
  <si>
    <t>Reaction Wheel</t>
  </si>
  <si>
    <t>Magnetorquer</t>
  </si>
  <si>
    <t>u1</t>
  </si>
  <si>
    <t>u2</t>
  </si>
  <si>
    <t>u3</t>
  </si>
  <si>
    <t>u4</t>
  </si>
  <si>
    <t>Amount</t>
  </si>
  <si>
    <t>Total power</t>
  </si>
  <si>
    <t>Total mass</t>
  </si>
  <si>
    <t>Star sensor</t>
  </si>
  <si>
    <t>Sun sensor</t>
  </si>
  <si>
    <t>Earth sensor</t>
  </si>
  <si>
    <t>Dock</t>
  </si>
  <si>
    <t>Moment of inertia X</t>
  </si>
  <si>
    <t>Moment of inertia Y</t>
  </si>
  <si>
    <t>Moment of inertia Z</t>
  </si>
  <si>
    <t>Moment of inertia min</t>
  </si>
  <si>
    <t>Moment of inertia max</t>
  </si>
  <si>
    <t>hola</t>
  </si>
  <si>
    <t>pepe</t>
  </si>
  <si>
    <t>Rotating axis = [X,Y,Z] -&gt; Moment of inertia</t>
  </si>
  <si>
    <t>Burn time to achieve slew rate</t>
  </si>
  <si>
    <t>Angular momentum of MW</t>
  </si>
  <si>
    <t>Slew rate</t>
  </si>
  <si>
    <t>Slew manoeuvre duration</t>
  </si>
  <si>
    <t>Thruster slew rate</t>
  </si>
  <si>
    <t>Estimated</t>
  </si>
  <si>
    <t>Component</t>
  </si>
  <si>
    <t>Thruster burning time % of manoeuvre slew</t>
  </si>
  <si>
    <t>% of maneuvre to achieve slew rate</t>
  </si>
  <si>
    <t>Number of thrusters</t>
  </si>
  <si>
    <t>Total</t>
  </si>
  <si>
    <t>BUDGET &amp; REQUIREMENTS</t>
  </si>
  <si>
    <t>T_D</t>
  </si>
  <si>
    <t>T_RW</t>
  </si>
  <si>
    <t>H_RW</t>
  </si>
  <si>
    <t>I</t>
  </si>
  <si>
    <t>ω_MW</t>
  </si>
  <si>
    <t>t_b</t>
  </si>
  <si>
    <t>L</t>
  </si>
  <si>
    <t>n</t>
  </si>
  <si>
    <t>t_s</t>
  </si>
  <si>
    <t>δ</t>
  </si>
  <si>
    <t>max</t>
  </si>
  <si>
    <t>MW maximum deviation</t>
  </si>
  <si>
    <t>MW angular velocity</t>
  </si>
  <si>
    <t>CB</t>
  </si>
  <si>
    <t>ρ_atm</t>
  </si>
  <si>
    <t>r_p</t>
  </si>
  <si>
    <t>V_p</t>
  </si>
  <si>
    <t>A_a</t>
  </si>
  <si>
    <t>A_sp</t>
  </si>
  <si>
    <t>I_max</t>
  </si>
  <si>
    <t>I_min</t>
  </si>
  <si>
    <t>I_z</t>
  </si>
  <si>
    <t>I_y</t>
  </si>
  <si>
    <t>I_x</t>
  </si>
  <si>
    <t>C_D</t>
  </si>
  <si>
    <t>SF_max</t>
  </si>
  <si>
    <t>MM_CB</t>
  </si>
  <si>
    <t>MM_earth</t>
  </si>
  <si>
    <t>SF_earth</t>
  </si>
  <si>
    <t>Angular momentum</t>
  </si>
  <si>
    <t>sat_dim_x</t>
  </si>
  <si>
    <t>sat_dim_y</t>
  </si>
  <si>
    <t>sat_dim_z</t>
  </si>
  <si>
    <t>CNF</t>
  </si>
  <si>
    <t>dθ/dt</t>
  </si>
  <si>
    <t>F_T</t>
  </si>
  <si>
    <t>Burning time for desaturation</t>
  </si>
  <si>
    <t>T_g</t>
  </si>
  <si>
    <t>T_sp</t>
  </si>
  <si>
    <t>T_m</t>
  </si>
  <si>
    <t>T_a</t>
  </si>
  <si>
    <t>reflectivity_factor</t>
  </si>
  <si>
    <t>Momentum Wheel</t>
  </si>
  <si>
    <t>Other sensor</t>
  </si>
  <si>
    <t>Other actuator</t>
  </si>
  <si>
    <t>IMU/Gyroscopes</t>
  </si>
  <si>
    <t>id</t>
  </si>
  <si>
    <t>class</t>
  </si>
  <si>
    <t>subclass</t>
  </si>
  <si>
    <t>subsubclass</t>
  </si>
  <si>
    <t>amount</t>
  </si>
  <si>
    <t>name</t>
  </si>
  <si>
    <t>supplier</t>
  </si>
  <si>
    <t>product_code</t>
  </si>
  <si>
    <t>cots</t>
  </si>
  <si>
    <t>notes</t>
  </si>
  <si>
    <t>trl</t>
  </si>
  <si>
    <t>earth_only</t>
  </si>
  <si>
    <t>mass</t>
  </si>
  <si>
    <t>power</t>
  </si>
  <si>
    <t>price</t>
  </si>
  <si>
    <t>v_nom</t>
  </si>
  <si>
    <t>i_avg</t>
  </si>
  <si>
    <t>i_peak</t>
  </si>
  <si>
    <t>lifespan</t>
  </si>
  <si>
    <t>t_release</t>
  </si>
  <si>
    <t>t_insert</t>
  </si>
  <si>
    <t>url</t>
  </si>
  <si>
    <t>rad_tolerance</t>
  </si>
  <si>
    <t>w_max</t>
  </si>
  <si>
    <t>torque_max</t>
  </si>
  <si>
    <t>momentum_max</t>
  </si>
  <si>
    <t>nr_axis</t>
  </si>
  <si>
    <t>resistance</t>
  </si>
  <si>
    <t>temp_coef</t>
  </si>
  <si>
    <t>dipole_moment</t>
  </si>
  <si>
    <t>noise</t>
  </si>
  <si>
    <t>range</t>
  </si>
  <si>
    <t>prec_deg</t>
  </si>
  <si>
    <t>acc_deg</t>
  </si>
  <si>
    <t>fov_x</t>
  </si>
  <si>
    <t>fov_y</t>
  </si>
  <si>
    <t>acc_pos</t>
  </si>
  <si>
    <t>acc_vel</t>
  </si>
  <si>
    <t>gnss</t>
  </si>
  <si>
    <t>acq_height</t>
  </si>
  <si>
    <t>drift</t>
  </si>
  <si>
    <t>Gom.NanoDock.ADCS-6</t>
  </si>
  <si>
    <t>dock</t>
  </si>
  <si>
    <t>NanoDock ADCS-6</t>
  </si>
  <si>
    <t>GomSpace</t>
  </si>
  <si>
    <t>yes</t>
  </si>
  <si>
    <t>no</t>
  </si>
  <si>
    <t>on request</t>
  </si>
  <si>
    <t>Gom.NanoDock.ADCS-3</t>
  </si>
  <si>
    <t>Gom.NanoTorque.GSW-600</t>
  </si>
  <si>
    <t>actuator</t>
  </si>
  <si>
    <t>reaction wheel</t>
  </si>
  <si>
    <t>NanoTorque GSW-600</t>
  </si>
  <si>
    <t>Gom.NanoTorque.GST-600</t>
  </si>
  <si>
    <t>magnetorquer</t>
  </si>
  <si>
    <t>NanoTorque GST-600</t>
  </si>
  <si>
    <t>Gom.NanoTorque.Z-axis</t>
  </si>
  <si>
    <t>NanoTorque Z-axis Internal</t>
  </si>
  <si>
    <t>Gom.NanoSense.M315</t>
  </si>
  <si>
    <t>sensor</t>
  </si>
  <si>
    <t>magnetometer</t>
  </si>
  <si>
    <t>NanoSense M315</t>
  </si>
  <si>
    <t>?</t>
  </si>
  <si>
    <t>Gom.NanoSense.FSS</t>
  </si>
  <si>
    <t>sun sensor</t>
  </si>
  <si>
    <t>NanoSense FSS</t>
  </si>
  <si>
    <t>no?</t>
  </si>
  <si>
    <t>Gom.GPS-kit</t>
  </si>
  <si>
    <t>GPS-kit</t>
  </si>
  <si>
    <t>GPS+GLONASS</t>
  </si>
  <si>
    <t>Len.BiSon64</t>
  </si>
  <si>
    <t>BiSon64</t>
  </si>
  <si>
    <t>Lens R&amp;D</t>
  </si>
  <si>
    <t>Len.BiSon64-B</t>
  </si>
  <si>
    <t>BiSon64-B</t>
  </si>
  <si>
    <t>Small baffle is added to BiSon64, in order to reduce the influence of albedo signals originating from outside the measurement field of view. Transport box for sale on cubesatshop.com</t>
  </si>
  <si>
    <t>Cub.CubeSense</t>
  </si>
  <si>
    <t>earth sensor</t>
  </si>
  <si>
    <t>CubeSense</t>
  </si>
  <si>
    <t>CubeSpace</t>
  </si>
  <si>
    <t>Sun and earth sensor kit</t>
  </si>
  <si>
    <t>Mai.EarthSensor</t>
  </si>
  <si>
    <t>SES IR Earth Sensor</t>
  </si>
  <si>
    <t>MAI</t>
  </si>
  <si>
    <t>Coarse props: acc. 1deg, fov 60deg</t>
  </si>
  <si>
    <t>Mai.SpaceSextant</t>
  </si>
  <si>
    <t>star sensor</t>
  </si>
  <si>
    <t>SS Space Sextant</t>
  </si>
  <si>
    <t>Sol.NanoSSOC.A60</t>
  </si>
  <si>
    <t>Nano-SSOC-A60</t>
  </si>
  <si>
    <t>SolarMEMS</t>
  </si>
  <si>
    <t>Sol.NanoSSOC.D60</t>
  </si>
  <si>
    <t>Nano-SSOC-D60</t>
  </si>
  <si>
    <t>Nss.NCSS-SA05</t>
  </si>
  <si>
    <t>NCSS-SA055</t>
  </si>
  <si>
    <t>NewSpace Systems</t>
  </si>
  <si>
    <t>Nss.NFSS-411</t>
  </si>
  <si>
    <t>NFSS-411</t>
  </si>
  <si>
    <t>Fine sensor</t>
  </si>
  <si>
    <t>Nss.GPSReceiver</t>
  </si>
  <si>
    <t>GPS Receiver</t>
  </si>
  <si>
    <t>GPS L1</t>
  </si>
  <si>
    <t>Sol.NanoSSOC.A60.2-axis</t>
  </si>
  <si>
    <t>Nano-SSOC-A60 2-axis</t>
  </si>
  <si>
    <t>Sol.NanoSSOC.D60.2-axis</t>
  </si>
  <si>
    <t>Nano-SSOC-D60 2-axis</t>
  </si>
  <si>
    <t>Nss.Magnetometer</t>
  </si>
  <si>
    <t>Magnetometer</t>
  </si>
  <si>
    <t>Tys.NanoStarTracker.1</t>
  </si>
  <si>
    <t>TY-Space</t>
  </si>
  <si>
    <t>NST-1</t>
  </si>
  <si>
    <t>Clyde.SmallSatReactionWheel</t>
  </si>
  <si>
    <t>Small Sat Reaction Wheel</t>
  </si>
  <si>
    <t>Clyde Space</t>
  </si>
  <si>
    <t>01-00754</t>
  </si>
  <si>
    <t>user manual not available at t_insert</t>
  </si>
  <si>
    <t>https://www.clyde.space/products/11-smallsat-reaction-wheel</t>
  </si>
  <si>
    <t>40 krad</t>
  </si>
  <si>
    <t>Clyde.ADCS</t>
  </si>
  <si>
    <t>High-Precision Attitude Determination and Control System (ADCS)</t>
  </si>
  <si>
    <t>ADCS-TM</t>
  </si>
  <si>
    <t>used in PICASSO</t>
  </si>
  <si>
    <t>https://www.clyde.space/products/51-highprecision-attitude-determination-and-control-system-adcs</t>
  </si>
  <si>
    <t>Make.Magnetometer</t>
  </si>
  <si>
    <t>Magnetometer for Satellites</t>
  </si>
  <si>
    <t>Makesat</t>
  </si>
  <si>
    <t>https://makesat.com/en/products/magnetometer-for-satellites</t>
  </si>
  <si>
    <t>Make.Magnetorquer</t>
  </si>
  <si>
    <t>Magnetic Torquer for Satellites</t>
  </si>
  <si>
    <t>https://makesat.com/en/products/magnetic-torquer-for-satellites</t>
  </si>
  <si>
    <t>Make.GPS</t>
  </si>
  <si>
    <t>GPS Receiver for Satellites</t>
  </si>
  <si>
    <t>yes?</t>
  </si>
  <si>
    <t>https://makesat.com/en/products/gps-receiver-for-satellites</t>
  </si>
  <si>
    <t>GPS + QZSS</t>
  </si>
  <si>
    <t>Make.EarthSensor</t>
  </si>
  <si>
    <t>Earth Sensor for Satellite</t>
  </si>
  <si>
    <t>https://makesat.com/en/products/earth-sensor-for-satellites</t>
  </si>
  <si>
    <t>Make.ReactionWheel</t>
  </si>
  <si>
    <t>https://makesat.com/en/products/reaction-wheel</t>
  </si>
  <si>
    <t>Make.FOG_IRU</t>
  </si>
  <si>
    <t>imu</t>
  </si>
  <si>
    <t>3-axis FOG IRU</t>
  </si>
  <si>
    <t>TA7584</t>
  </si>
  <si>
    <t>FOG: fiber optic gyros</t>
  </si>
  <si>
    <t>15-28</t>
  </si>
  <si>
    <t>Isis.Magnetorquer</t>
  </si>
  <si>
    <t>MagneTorQuer board (iMTQ)</t>
  </si>
  <si>
    <t>ISIS</t>
  </si>
  <si>
    <t>https://www.isispace.nl/product/isis-magnetorquer-board/</t>
  </si>
  <si>
    <t>Blue.NST.Extended</t>
  </si>
  <si>
    <t>Extended NST</t>
  </si>
  <si>
    <t>Blue Canyon Technologies</t>
  </si>
  <si>
    <t>http://bluecanyontech.com/wp-content/uploads/2018/01/DataSheet_StarTrackers_06_F.pdf</t>
  </si>
  <si>
    <t>Blue.NST.ThinSlice</t>
  </si>
  <si>
    <t>Thin Slice NST</t>
  </si>
  <si>
    <t>Blue.NST.Standard</t>
  </si>
  <si>
    <t>Standard NST</t>
  </si>
  <si>
    <t>Blue.RWP.015</t>
  </si>
  <si>
    <t>RWP015</t>
  </si>
  <si>
    <t>http://bluecanyontech.com/wp-content/uploads/2018/01/DataSheet_RW_07_F.pdf</t>
  </si>
  <si>
    <t>Blue.RWP.050</t>
  </si>
  <si>
    <t>RWP050</t>
  </si>
  <si>
    <t>Blue.RWP.100</t>
  </si>
  <si>
    <t>RWP100</t>
  </si>
  <si>
    <t>Blue.RWP.500</t>
  </si>
  <si>
    <t>RWP500</t>
  </si>
  <si>
    <t>Blue.RW.1</t>
  </si>
  <si>
    <t>RW1</t>
  </si>
  <si>
    <t>Blue.RW.4</t>
  </si>
  <si>
    <t>RW4</t>
  </si>
  <si>
    <t>Blue.RW.6</t>
  </si>
  <si>
    <t>RW6</t>
  </si>
  <si>
    <t>Sod.Auriga</t>
  </si>
  <si>
    <t>Auriga</t>
  </si>
  <si>
    <t>SODERN</t>
  </si>
  <si>
    <t>http://www.sodern.com/website/docs_wsw/RUB_215/tile_508/Datasheet_AURIGA_2017.pdf</t>
  </si>
  <si>
    <t>Sod.Hydra</t>
  </si>
  <si>
    <t>Hydra</t>
  </si>
  <si>
    <t>GEO</t>
  </si>
  <si>
    <t>21 to 52</t>
  </si>
  <si>
    <t>http://www.sodern.com/website/docs_wsw/RUB_215/tile_508/Datasheet_HYDRA_2017.pdf</t>
  </si>
  <si>
    <t>Sod.HydraM</t>
  </si>
  <si>
    <t>Hydra M</t>
  </si>
  <si>
    <t>http://www.sodern.com/website/docs_wsw/RUB_215/tile_508/Datasheet_HYDRA_M_2017.pdf</t>
  </si>
  <si>
    <t>Sod.HydraTC</t>
  </si>
  <si>
    <t>Hydra TC</t>
  </si>
  <si>
    <t>http://www.sodern.com/website/docs_wsw/RUB_215/tile_508/Datasheet_HYDRA_TC_2017.pdf</t>
  </si>
  <si>
    <t>CSZA.CubeWheel.small</t>
  </si>
  <si>
    <t>CubeWheel</t>
  </si>
  <si>
    <t>CubeSpaceZA</t>
  </si>
  <si>
    <t>6.5 to 16</t>
  </si>
  <si>
    <t>https://cubespace.co.za/cubewheel/</t>
  </si>
  <si>
    <t>20 krad</t>
  </si>
  <si>
    <t>CSZA.CubeWheel.medium</t>
  </si>
  <si>
    <t>CSZA.CubeWheel.large</t>
  </si>
  <si>
    <t>CSZA.CubeTorquer</t>
  </si>
  <si>
    <t>CubeTorquer</t>
  </si>
  <si>
    <t>https://cubespace.co.za/cubetorquer/</t>
  </si>
  <si>
    <t>CSZA.CubeCoil</t>
  </si>
  <si>
    <t>CubeCoil</t>
  </si>
  <si>
    <t>CSZA.CubeStar</t>
  </si>
  <si>
    <t>CubeStar</t>
  </si>
  <si>
    <t>CSZA.CubeSense.Earth</t>
  </si>
  <si>
    <t>https://cubespace.co.za/cubesense/</t>
  </si>
  <si>
    <t>CSZA.CubeSense.Sun</t>
  </si>
  <si>
    <t>CSZA.CubeADCS.3axis</t>
  </si>
  <si>
    <t>CubeADCS 3-axis</t>
  </si>
  <si>
    <t>3.3 - 16</t>
  </si>
  <si>
    <t>https://cubespace.co.za/3-axis/</t>
  </si>
  <si>
    <t>CSZA.CubeADCS.magnetic</t>
  </si>
  <si>
    <t>CubeADCS Magnetic</t>
  </si>
  <si>
    <t>3.3, 5</t>
  </si>
  <si>
    <t>https://cubespace.co.za/magnetic/</t>
  </si>
  <si>
    <t>none</t>
  </si>
  <si>
    <t>CSZA.CubeADCS.momentum</t>
  </si>
  <si>
    <t>CubeADCS Momentum</t>
  </si>
  <si>
    <t>https://cubespace.co.za/y-momentum/</t>
  </si>
  <si>
    <t>¥ 3000000</t>
  </si>
  <si>
    <t>Precision</t>
  </si>
  <si>
    <t>Accuracy</t>
  </si>
  <si>
    <t>IMU</t>
  </si>
  <si>
    <t>Resistance</t>
  </si>
  <si>
    <t>Noise</t>
  </si>
  <si>
    <t>Drift</t>
  </si>
  <si>
    <t>Range</t>
  </si>
  <si>
    <t>value</t>
  </si>
  <si>
    <t>FIELDS</t>
  </si>
  <si>
    <t>ID</t>
  </si>
  <si>
    <t>COTS</t>
  </si>
  <si>
    <t>TRL</t>
  </si>
  <si>
    <t>Class</t>
  </si>
  <si>
    <t>Subclass</t>
  </si>
  <si>
    <t>Subsubclass</t>
  </si>
  <si>
    <t>label</t>
  </si>
  <si>
    <t>Notes</t>
  </si>
  <si>
    <t>Price</t>
  </si>
  <si>
    <t>Product code</t>
  </si>
  <si>
    <t>Earth only</t>
  </si>
  <si>
    <t>V nom</t>
  </si>
  <si>
    <t>I avg</t>
  </si>
  <si>
    <t>I peak</t>
  </si>
  <si>
    <t>CubeSat</t>
  </si>
  <si>
    <t>Width</t>
  </si>
  <si>
    <t>Length</t>
  </si>
  <si>
    <t>Height</t>
  </si>
  <si>
    <t>Temp max</t>
  </si>
  <si>
    <t>Temp min</t>
  </si>
  <si>
    <t>Torque max</t>
  </si>
  <si>
    <t>Momentum max</t>
  </si>
  <si>
    <t>Lifespan</t>
  </si>
  <si>
    <t>Time of release</t>
  </si>
  <si>
    <t>Time of insert</t>
  </si>
  <si>
    <t>URL</t>
  </si>
  <si>
    <t>Radiation tolerance</t>
  </si>
  <si>
    <t>Temp coef</t>
  </si>
  <si>
    <t>Dipole moment</t>
  </si>
  <si>
    <t>Nr of axes</t>
  </si>
  <si>
    <t>FoV x</t>
  </si>
  <si>
    <t>FoV y</t>
  </si>
  <si>
    <t>Position acc</t>
  </si>
  <si>
    <t>Velocity acc</t>
  </si>
  <si>
    <t>Acquisition height</t>
  </si>
  <si>
    <r>
      <rPr>
        <sz val="8"/>
        <color theme="1"/>
        <rFont val="Segoe UI"/>
        <family val="2"/>
      </rPr>
      <t>ω</t>
    </r>
    <r>
      <rPr>
        <sz val="8"/>
        <color theme="1"/>
        <rFont val="Segoe UI"/>
        <family val="2"/>
        <scheme val="minor"/>
      </rPr>
      <t xml:space="preserve"> max</t>
    </r>
  </si>
  <si>
    <t>Position Acc</t>
  </si>
  <si>
    <t>Velocity Acc</t>
  </si>
  <si>
    <t>ω max</t>
  </si>
  <si>
    <t>R_MW</t>
  </si>
  <si>
    <t>m_MW</t>
  </si>
  <si>
    <t>Origin</t>
  </si>
  <si>
    <t>TORQUES</t>
  </si>
  <si>
    <t>Affected torque</t>
  </si>
  <si>
    <t>REACTION WHEELS (RW)</t>
  </si>
  <si>
    <t>MOMENTUM WHEELS (MW)</t>
  </si>
  <si>
    <t>Design Process</t>
  </si>
  <si>
    <t>D_m</t>
  </si>
  <si>
    <t>D_m,MT</t>
  </si>
  <si>
    <t>Max deviation long axis - N-Z</t>
  </si>
  <si>
    <t>Maximum deviation of longitudinal axis wrt Nadir-Zenith</t>
  </si>
  <si>
    <t>AOC\Att_ADCS\\</t>
  </si>
  <si>
    <t>AOC\CTL_SYS_TYP\\</t>
  </si>
  <si>
    <t>AOC\MAX_TEMP_ADCS\\</t>
  </si>
  <si>
    <t>AOC\MAX_THR_ARM\\</t>
  </si>
  <si>
    <t>AOC\MIN_TEMP_ADCS\\</t>
  </si>
  <si>
    <t>AOC\NUM_TRH\\</t>
  </si>
  <si>
    <t>AOC\SPN_AXS_ADCS\\</t>
  </si>
  <si>
    <t>AOC\SPN_ROT_VEL_ADCS\\</t>
  </si>
  <si>
    <t>AOC\THR_B_T\\</t>
  </si>
  <si>
    <t>AOC\THR_THRU\\</t>
  </si>
  <si>
    <t>AOC\Total_Mass_ADCS\\</t>
  </si>
  <si>
    <t>AOC\Total_Power_AOCS\\</t>
  </si>
  <si>
    <t>Control System type</t>
  </si>
  <si>
    <t>Attitude</t>
  </si>
  <si>
    <t>Spin axis</t>
  </si>
  <si>
    <t>Spin rotation velocity</t>
  </si>
  <si>
    <t>Thrust of thrusters</t>
  </si>
  <si>
    <t>Burning time of thrusters</t>
  </si>
  <si>
    <t>Maximum arm for thrusters</t>
  </si>
  <si>
    <t>MIS</t>
  </si>
  <si>
    <t>STR\drag_coef\\</t>
  </si>
  <si>
    <t>STR\Ix\\</t>
  </si>
  <si>
    <t>STR\Iy\\</t>
  </si>
  <si>
    <t>STR\Iz\\</t>
  </si>
  <si>
    <t>PWR\reffac\\</t>
  </si>
  <si>
    <t>MIS\irr_max\\</t>
  </si>
  <si>
    <t>MIS\T_d\\</t>
  </si>
  <si>
    <t>STR\STR_PRY_AREA\\</t>
  </si>
  <si>
    <t>SYS\point_acc\\</t>
  </si>
  <si>
    <t>MIS\focus\\</t>
  </si>
  <si>
    <t>STR\l_x\\</t>
  </si>
  <si>
    <t>STR\l_y\\</t>
  </si>
  <si>
    <t>STR\l_z\\</t>
  </si>
  <si>
    <t>MIS\v_p\\</t>
  </si>
  <si>
    <t>Gravitational parameter</t>
  </si>
  <si>
    <t>CDF MODULE - ADCS</t>
  </si>
  <si>
    <t>MIS\Z_peri\\</t>
  </si>
  <si>
    <t>altitude_p</t>
  </si>
  <si>
    <t>R_moon</t>
  </si>
  <si>
    <t>Radius</t>
  </si>
  <si>
    <t>R_earth</t>
  </si>
  <si>
    <t>Info Parameter</t>
  </si>
  <si>
    <t>_EngineeringModel_</t>
  </si>
  <si>
    <t>MS18_V1 (MUSE SEP 2018 V1)</t>
  </si>
  <si>
    <t>_DomainOfExpertise_</t>
  </si>
  <si>
    <t>AOC (Attitude and Orbit Control)</t>
  </si>
  <si>
    <t>_IterationNumber_</t>
  </si>
  <si>
    <t>_IterationRevision_</t>
  </si>
  <si>
    <t>_LastModifiedOn_</t>
  </si>
  <si>
    <t>_Person_</t>
  </si>
  <si>
    <t>Kind</t>
  </si>
  <si>
    <t>Owner</t>
  </si>
  <si>
    <t>Identifier</t>
  </si>
  <si>
    <t>Computed</t>
  </si>
  <si>
    <t>Reference</t>
  </si>
  <si>
    <t>Path</t>
  </si>
  <si>
    <t>Actual Value</t>
  </si>
  <si>
    <t>Scale</t>
  </si>
  <si>
    <t>Parameter Type</t>
  </si>
  <si>
    <t>State</t>
  </si>
  <si>
    <t>Option</t>
  </si>
  <si>
    <t>Grouping</t>
  </si>
  <si>
    <t>Parameter Type Categories</t>
  </si>
  <si>
    <t>Unique Id</t>
  </si>
  <si>
    <t>ClassKind</t>
  </si>
  <si>
    <t>Previous Formula</t>
  </si>
  <si>
    <t>Previous Actual Value</t>
  </si>
  <si>
    <t>Snapshot</t>
  </si>
  <si>
    <t>P</t>
  </si>
  <si>
    <t>MANUAL</t>
  </si>
  <si>
    <t>Att_ADCS</t>
  </si>
  <si>
    <t>e4426ea8-3b49-4e6e-a57f-9bc42a0add37</t>
  </si>
  <si>
    <t>ParameterValueSet</t>
  </si>
  <si>
    <t>CTL_SYS_TYP</t>
  </si>
  <si>
    <t>e5f058ba-332f-44b7-b59b-97dbcbb22c55</t>
  </si>
  <si>
    <t>°C</t>
  </si>
  <si>
    <t>MAX_TEMP_ADCS</t>
  </si>
  <si>
    <t>b94a4510-70eb-4b85-92b2-5f35c969c669</t>
  </si>
  <si>
    <t>MAX_THR_ARM</t>
  </si>
  <si>
    <t>afa19153-d003-47d5-8410-d15eccb86b0d</t>
  </si>
  <si>
    <t>MIN_TEMP_ADCS</t>
  </si>
  <si>
    <t>b4a080f5-eae4-433e-b457-9753a3e1fb32</t>
  </si>
  <si>
    <t>NUM_TRH</t>
  </si>
  <si>
    <t>a42e9d2f-214c-4991-8579-6945cf00421a</t>
  </si>
  <si>
    <t>SPN_AXS_ADCS</t>
  </si>
  <si>
    <t>df8e19e1-f492-4d59-9670-eaa7e45cd9c2</t>
  </si>
  <si>
    <t>SPN_ROT_VEL_ADCS</t>
  </si>
  <si>
    <t>29ce4977-7e8b-4e83-929d-26da4f2d75fa</t>
  </si>
  <si>
    <t>THR_B_T</t>
  </si>
  <si>
    <t>75af9539-75bb-4e5d-8d41-e77d3d4f768d</t>
  </si>
  <si>
    <t>THR_THRU</t>
  </si>
  <si>
    <t>5f8f378e-71ea-4185-926e-eeb13cf2103a</t>
  </si>
  <si>
    <t>Total_Mass_ADCS</t>
  </si>
  <si>
    <t>b3360da2-f1b7-448a-b0ce-8ab8c9e5d903</t>
  </si>
  <si>
    <t>Total_Power_AOCS</t>
  </si>
  <si>
    <t>b13544e1-724a-4992-b144-7d17f501c48b</t>
  </si>
  <si>
    <t>PS</t>
  </si>
  <si>
    <t>COMPUTED</t>
  </si>
  <si>
    <t>focus</t>
  </si>
  <si>
    <t>e15b2e5f-16b1-4eeb-9a35-b7814f1a1f29</t>
  </si>
  <si>
    <t>ParameterSubscriptionValueSet</t>
  </si>
  <si>
    <t>W·m⁻²</t>
  </si>
  <si>
    <t>irr_max</t>
  </si>
  <si>
    <t>827c3d58-223b-479c-aea7-01b139931784</t>
  </si>
  <si>
    <t>T_d</t>
  </si>
  <si>
    <t>10c1d174-e04c-4977-88f4-9b56651118ef</t>
  </si>
  <si>
    <t>v_p</t>
  </si>
  <si>
    <t>4e7f9e47-ba7b-471e-9aa7-df3d756ff052</t>
  </si>
  <si>
    <t>km</t>
  </si>
  <si>
    <t>Z_peri</t>
  </si>
  <si>
    <t>40e5300e-1f46-40c7-89b4-44b93f0f5646</t>
  </si>
  <si>
    <t>reffac</t>
  </si>
  <si>
    <t>34a74ab4-e351-44f2-ada4-b8ece6ee75fd</t>
  </si>
  <si>
    <t>{"Kind":"PS","Identifier":"PWR\\reffac\\\\","Computed":"-","Manual":"-","Reference":"-","Switch":"COMPUTED","Path":"PWR\\reffac\\\\","Actual Value":"","Scale":"-","Parameter Type":"reffac","State":"","Option":"","Owner":"PWR","Grouping":"","Parameter Type Categories":"","Unique Id":"34a74ab4-e351-44f2-ada4-b8ece6ee75fd","ClassKind":"ParameterSubscriptionValueSet","Previous Actual Value":"'-"}</t>
  </si>
  <si>
    <t>1626ec78-b340-4952-a74e-002b3e711e62</t>
  </si>
  <si>
    <t>1</t>
  </si>
  <si>
    <t>{"Kind":"PS","Identifier":"STR\\drag_coef\\\\","Computed":"1","Manual":"-","Reference":"-","Switch":"COMPUTED","Path":"STR\\drag_coef\\\\","Actual Value":"","Scale":"-","Parameter Type":"drag_coef","State":"","Option":"","Owner":"STR","Grouping":"","Parameter Type Categories":"","Unique Id":"1626ec78-b340-4952-a74e-002b3e711e62","ClassKind":"ParameterSubscriptionValueSet","Previous Actual Value":"'1"}</t>
  </si>
  <si>
    <t>0,4</t>
  </si>
  <si>
    <t>kg·m²</t>
  </si>
  <si>
    <t>Ix</t>
  </si>
  <si>
    <t>c858ea51-dff8-41fb-8bb5-57656632fccc</t>
  </si>
  <si>
    <t>{"Kind":"PS","Identifier":"STR\\Ix\\\\","Computed":"0,4","Manual":"-","Reference":"-","Switch":"COMPUTED","Path":"STR\\Ix\\\\","Actual Value":"","Scale":"kg·m²","Parameter Type":"Ix","State":"","Option":"","Owner":"STR","Grouping":"","Parameter Type Categories":"","Unique Id":"c858ea51-dff8-41fb-8bb5-57656632fccc","ClassKind":"ParameterSubscriptionValueSet","Previous Actual Value":"'0,4"}</t>
  </si>
  <si>
    <t>0,2</t>
  </si>
  <si>
    <t>Iy</t>
  </si>
  <si>
    <t>3f72bdab-4568-44b6-bfd4-26cc28ed5b17</t>
  </si>
  <si>
    <t>{"Kind":"PS","Identifier":"STR\\Iy\\\\","Computed":"0,2","Manual":"-","Reference":"-","Switch":"COMPUTED","Path":"STR\\Iy\\\\","Actual Value":"","Scale":"kg·m²","Parameter Type":"Iy","State":"","Option":"","Owner":"STR","Grouping":"","Parameter Type Categories":"","Unique Id":"3f72bdab-4568-44b6-bfd4-26cc28ed5b17","ClassKind":"ParameterSubscriptionValueSet","Previous Actual Value":"'0,2"}</t>
  </si>
  <si>
    <t>Iz</t>
  </si>
  <si>
    <t>6a3d674f-4256-4aad-b7a3-6d1db746b091</t>
  </si>
  <si>
    <t>0,1</t>
  </si>
  <si>
    <t>l_x</t>
  </si>
  <si>
    <t>694de40b-f5f7-43e6-a7af-73ffde52b4ef</t>
  </si>
  <si>
    <t>{"Kind":"PS","Identifier":"STR\\l_x\\\\","Computed":"0,1","Manual":"-","Reference":"-","Switch":"COMPUTED","Path":"STR\\l_x\\\\","Actual Value":"","Scale":"m","Parameter Type":"l_x","State":"","Option":"","Owner":"STR","Grouping":"","Parameter Type Categories":"","Unique Id":"694de40b-f5f7-43e6-a7af-73ffde52b4ef","ClassKind":"ParameterSubscriptionValueSet","Previous Actual Value":"'0,1"}</t>
  </si>
  <si>
    <t>l_y</t>
  </si>
  <si>
    <t>dc3f6d06-fb1f-43ed-b971-0d912be10bd3</t>
  </si>
  <si>
    <t>{"Kind":"PS","Identifier":"STR\\l_y\\\\","Computed":"0,2","Manual":"-","Reference":"-","Switch":"COMPUTED","Path":"STR\\l_y\\\\","Actual Value":"","Scale":"m","Parameter Type":"l_y","State":"","Option":"","Owner":"STR","Grouping":"","Parameter Type Categories":"","Unique Id":"dc3f6d06-fb1f-43ed-b971-0d912be10bd3","ClassKind":"ParameterSubscriptionValueSet","Previous Actual Value":"'0,2"}</t>
  </si>
  <si>
    <t>0,3</t>
  </si>
  <si>
    <t>l_z</t>
  </si>
  <si>
    <t>edca9c2c-390a-4465-9ab3-e4592e6ad167</t>
  </si>
  <si>
    <t>{"Kind":"PS","Identifier":"STR\\l_z\\\\","Computed":"0,3","Manual":"-","Reference":"-","Switch":"COMPUTED","Path":"STR\\l_z\\\\","Actual Value":"","Scale":"m","Parameter Type":"l_z","State":"","Option":"","Owner":"STR","Grouping":"","Parameter Type Categories":"","Unique Id":"edca9c2c-390a-4465-9ab3-e4592e6ad167","ClassKind":"ParameterSubscriptionValueSet","Previous Actual Value":"'0,3"}</t>
  </si>
  <si>
    <t>0,04</t>
  </si>
  <si>
    <t>m²</t>
  </si>
  <si>
    <t>STR_PRY_AREA</t>
  </si>
  <si>
    <t>52d24166-879f-43e2-83d5-35bb386841e1</t>
  </si>
  <si>
    <t>{"Kind":"PS","Identifier":"STR\\STR_PRY_AREA\\\\","Computed":"0,04","Manual":"-","Reference":"-","Switch":"COMPUTED","Path":"STR\\STR_PRY_AREA\\\\","Actual Value":"","Scale":"m²","Parameter Type":"STR_PRY_AREA","State":"","Option":"","Owner":"STR","Grouping":"","Parameter Type Categories":"","Unique Id":"52d24166-879f-43e2-83d5-35bb386841e1","ClassKind":"ParameterSubscriptionValueSet","Previous Actual Value":"'0,04"}</t>
  </si>
  <si>
    <t>0,05</t>
  </si>
  <si>
    <t>°</t>
  </si>
  <si>
    <t>point_acc</t>
  </si>
  <si>
    <t>173ba643-205d-46bb-b553-4286853f3061</t>
  </si>
  <si>
    <t>{"Kind":"PS","Identifier":"SYS\\point_acc\\\\","Computed":"0,05","Manual":"-","Reference":"-","Switch":"COMPUTED","Path":"SYS\\point_acc\\\\","Actual Value":"","Scale":"°","Parameter Type":"point_acc","State":"","Option":"","Owner":"SYS","Grouping":"","Parameter Type Categories":"","Unique Id":"173ba643-205d-46bb-b553-4286853f3061","ClassKind":"ParameterSubscriptionValueSet","Previous Actual Value":"'0,05"}</t>
  </si>
  <si>
    <t>Short Name</t>
  </si>
  <si>
    <t>State Kind</t>
  </si>
  <si>
    <t>Previous Kind</t>
  </si>
  <si>
    <t>Nested Element</t>
  </si>
  <si>
    <t>Parameter Group</t>
  </si>
  <si>
    <t>Full Path</t>
  </si>
  <si>
    <t>Margin (%)</t>
  </si>
  <si>
    <t>Margin</t>
  </si>
  <si>
    <t>Parameter Owner</t>
  </si>
  <si>
    <t>Subscriber</t>
  </si>
  <si>
    <t>Element Owner</t>
  </si>
  <si>
    <t>Product/Function</t>
  </si>
  <si>
    <t>Decomposition Level</t>
  </si>
  <si>
    <t>Level 1</t>
  </si>
  <si>
    <t>_name_</t>
  </si>
  <si>
    <t>\SYS\_name_\\default</t>
  </si>
  <si>
    <t>System Engineering</t>
  </si>
  <si>
    <t>SYS (System Engineering)</t>
  </si>
  <si>
    <t>a_axial</t>
  </si>
  <si>
    <t>\SYS\a_axial\\default</t>
  </si>
  <si>
    <t>g_n</t>
  </si>
  <si>
    <t>Function</t>
  </si>
  <si>
    <t>a_lat</t>
  </si>
  <si>
    <t>\SYS\a_lat\\default</t>
  </si>
  <si>
    <t>dur</t>
  </si>
  <si>
    <t>\SYS\dur\\default</t>
  </si>
  <si>
    <t>yr</t>
  </si>
  <si>
    <t>f_axial</t>
  </si>
  <si>
    <t>\SYS\f_axial\\default</t>
  </si>
  <si>
    <t>f_lateral</t>
  </si>
  <si>
    <t>\SYS\f_lateral\\default</t>
  </si>
  <si>
    <t>low_limit_sc_t</t>
  </si>
  <si>
    <t>\SYS\low_limit_sc_t\\default</t>
  </si>
  <si>
    <t>m_sp</t>
  </si>
  <si>
    <t>\SYS\m_sp\\default</t>
  </si>
  <si>
    <t>max_sc_dim</t>
  </si>
  <si>
    <t>\SYS\max_sc_dim\\default</t>
  </si>
  <si>
    <t>\SYS\point_acc\\default</t>
  </si>
  <si>
    <t>SC_Mass_Dry</t>
  </si>
  <si>
    <t>\SYS\SC_Mass_Dry\\default</t>
  </si>
  <si>
    <t>SC_Power_Req</t>
  </si>
  <si>
    <t>\SYS\SC_Power_Req\\default</t>
  </si>
  <si>
    <t>sp_dry_mass_exclud_pro</t>
  </si>
  <si>
    <t>\SYS\sp_dry_mass_exclud_pro\\default</t>
  </si>
  <si>
    <t>str_type</t>
  </si>
  <si>
    <t>\SYS\str_type\\default</t>
  </si>
  <si>
    <t>Prismatic</t>
  </si>
  <si>
    <t>total_prop_mass</t>
  </si>
  <si>
    <t>\SYS\total_prop_mass\\default</t>
  </si>
  <si>
    <t>up_t_lim_SC</t>
  </si>
  <si>
    <t>\SYS\up_t_lim_SC\\default</t>
  </si>
  <si>
    <t>(All)</t>
  </si>
  <si>
    <t>R_sun</t>
  </si>
  <si>
    <t>Docks</t>
  </si>
  <si>
    <t>OBCs (Manually inserted)</t>
  </si>
  <si>
    <t>NanoDock ADCS-3</t>
  </si>
  <si>
    <t>Nanomind A3200</t>
  </si>
  <si>
    <t>ON-BOARD COMPUTERS AND DOCKS</t>
  </si>
  <si>
    <t>David Criado</t>
  </si>
  <si>
    <t>{"Kind":"P","Identifier":"AOC\\Att_ADCS\\\\","Computed":"-","Manual":"Fixed","Reference":"-","Switch":"MANUAL","Path":"AOC\\Att_ADCS\\\\","Actual Value":"","Scale":"","Parameter Type":"Att_ADCS","State":"","Option":"","Owner":"AOC","Grouping":"","Parameter Type Categories":"","Unique Id":"e4426ea8-3b49-4e6e-a57f-9bc42a0add37","ClassKind":"ParameterValueSet","Previous Formula":"'-","Previous Actual Value":"'Fixed"}</t>
  </si>
  <si>
    <t>{"Kind":"P","Identifier":"AOC\\CTL_SYS_TYP\\\\","Computed":"-","Manual":"3-axis","Reference":"-","Switch":"MANUAL","Path":"AOC\\CTL_SYS_TYP\\\\","Actual Value":"","Scale":"","Parameter Type":"CTL_SYS_TYP","State":"","Option":"","Owner":"AOC","Grouping":"","Parameter Type Categories":"","Unique Id":"e5f058ba-332f-44b7-b59b-97dbcbb22c55","ClassKind":"ParameterValueSet","Previous Formula":"'-","Previous Actual Value":"'3-axis"}</t>
  </si>
  <si>
    <t>60</t>
  </si>
  <si>
    <t>{"Kind":"P","Identifier":"AOC\\MAX_TEMP_ADCS\\\\","Computed":"-","Manual":"60","Reference":"-","Switch":"MANUAL","Path":"AOC\\MAX_TEMP_ADCS\\\\","Actual Value":"","Scale":"°C","Parameter Type":"MAX_TEMP_ADCS","State":"","Option":"","Owner":"AOC","Grouping":"","Parameter Type Categories":"","Unique Id":"b94a4510-70eb-4b85-92b2-5f35c969c669","ClassKind":"ParameterValueSet","Previous Formula":"'-","Previous Actual Value":"'60"}</t>
  </si>
  <si>
    <t>0</t>
  </si>
  <si>
    <t>-10</t>
  </si>
  <si>
    <t>{"Kind":"P","Identifier":"AOC\\MIN_TEMP_ADCS\\\\","Computed":"-","Manual":"-10","Reference":"-","Switch":"MANUAL","Path":"AOC\\MIN_TEMP_ADCS\\\\","Actual Value":"","Scale":"°C","Parameter Type":"MIN_TEMP_ADCS","State":"","Option":"","Owner":"AOC","Grouping":"","Parameter Type Categories":"","Unique Id":"b4a080f5-eae4-433e-b457-9753a3e1fb32","ClassKind":"ParameterValueSet","Previous Formula":"'-","Previous Actual Value":"'-10"}</t>
  </si>
  <si>
    <t>2</t>
  </si>
  <si>
    <t>{"Kind":"P","Identifier":"AOC\\NUM_TRH\\\\","Computed":"-","Manual":"2","Reference":"-","Switch":"MANUAL","Path":"AOC\\NUM_TRH\\\\","Actual Value":"","Scale":"-","Parameter Type":"NUM_TRH","State":"","Option":"","Owner":"AOC","Grouping":"","Parameter Type Categories":"","Unique Id":"a42e9d2f-214c-4991-8579-6945cf00421a","ClassKind":"ParameterValueSet","Previous Formula":"'-","Previous Actual Value":"'2"}</t>
  </si>
  <si>
    <t>{"Kind":"P","Identifier":"AOC\\SPN_AXS_ADCS\\\\","Computed":"-","Manual":"Z","Reference":"-","Switch":"MANUAL","Path":"AOC\\SPN_AXS_ADCS\\\\","Actual Value":"","Scale":"","Parameter Type":"SPN_AXS_ADCS","State":"","Option":"","Owner":"AOC","Grouping":"","Parameter Type Categories":"","Unique Id":"df8e19e1-f492-4d59-9670-eaa7e45cd9c2","ClassKind":"ParameterValueSet","Previous Formula":"'-","Previous Actual Value":"'Z"}</t>
  </si>
  <si>
    <t>{"Kind":"P","Identifier":"AOC\\SPN_ROT_VEL_ADCS\\\\","Computed":"-","Manual":"0","Reference":"-","Switch":"MANUAL","Path":"AOC\\SPN_ROT_VEL_ADCS\\\\","Actual Value":"","Scale":"rad/s","Parameter Type":"SPN_ROT_VEL_ADCS","State":"","Option":"","Owner":"AOC","Grouping":"","Parameter Type Categories":"","Unique Id":"29ce4977-7e8b-4e83-929d-26da4f2d75fa","ClassKind":"ParameterValueSet","Previous Formula":"'-","Previous Actual Value":"'0"}</t>
  </si>
  <si>
    <t>16</t>
  </si>
  <si>
    <t>0,91</t>
  </si>
  <si>
    <t>{"Kind":"PS","Identifier":"MIS\\focus\\\\","Computed":"Earth","Manual":"-","Reference":"-","Switch":"COMPUTED","Path":"MIS\\focus\\\\","Actual Value":"","Scale":"","Parameter Type":"focus","State":"","Option":"","Owner":"MIS","Grouping":"","Parameter Type Categories":"","Unique Id":"e15b2e5f-16b1-4eeb-9a35-b7814f1a1f29","ClassKind":"ParameterSubscriptionValueSet","Previous Actual Value":"'Earth"}</t>
  </si>
  <si>
    <t>578160090,3</t>
  </si>
  <si>
    <t>{"Kind":"PS","Identifier":"MIS\\T_d\\\\","Computed":"578160090,3","Manual":"-","Reference":"-","Switch":"COMPUTED","Path":"MIS\\T_d\\\\","Actual Value":"","Scale":"s","Parameter Type":"T_d","State":"","Option":"","Owner":"MIS","Grouping":"","Parameter Type Categories":"","Unique Id":"10c1d174-e04c-4977-88f4-9b56651118ef","ClassKind":"ParameterSubscriptionValueSet","Previous Actual Value":"'578160090,3"}</t>
  </si>
  <si>
    <t>163,01</t>
  </si>
  <si>
    <t>{"Kind":"PS","Identifier":"MIS\\v_p\\\\","Computed":"163,01","Manual":"-","Reference":"-","Switch":"COMPUTED","Path":"MIS\\v_p\\\\","Actual Value":"","Scale":"m/s","Parameter Type":"v_p","State":"","Option":"","Owner":"MIS","Grouping":"","Parameter Type Categories":"","Unique Id":"4e7f9e47-ba7b-471e-9aa7-df3d756ff052","ClassKind":"ParameterSubscriptionValueSet","Previous Actual Value":"'163,01"}</t>
  </si>
  <si>
    <t>14993629000</t>
  </si>
  <si>
    <t>{"Kind":"PS","Identifier":"MIS\\Z_peri\\\\","Computed":"14993629000","Manual":"-","Reference":"-","Switch":"COMPUTED","Path":"MIS\\Z_peri\\\\","Actual Value":"","Scale":"km","Parameter Type":"Z_peri","State":"","Option":"","Owner":"MIS","Grouping":"","Parameter Type Categories":"","Unique Id":"40e5300e-1f46-40c7-89b4-44b93f0f5646","ClassKind":"ParameterSubscriptionValueSet","Previous Actual Value":"'14993629000"}</t>
  </si>
  <si>
    <t>1,24</t>
  </si>
  <si>
    <t>{"Kind":"PS","Identifier":"STR\\Iz\\\\","Computed":"1,24","Manual":"-","Reference":"-","Switch":"COMPUTED","Path":"STR\\Iz\\\\","Actual Value":"","Scale":"kg·m²","Parameter Type":"Iz","State":"","Option":"","Owner":"STR","Grouping":"","Parameter Type Categories":"","Unique Id":"6a3d674f-4256-4aad-b7a3-6d1db746b091","ClassKind":"ParameterSubscriptionValueSet","Previous Actual Value":"'1,24"}</t>
  </si>
  <si>
    <t>{"Kind":"P","Identifier":"AOC\\Total_Power_AOCS\\\\","Computed":"-","Manual":"3,78","Reference":"-","Switch":"MANUAL","Path":"AOC\\Total_Power_AOCS\\\\","Actual Value":"","Scale":"W","Parameter Type":"Total_Power_AOCS","State":"","Option":"","Owner":"AOC","Grouping":"","Parameter Type Categories":"","Unique Id":"b13544e1-724a-4992-b144-7d17f501c48b","ClassKind":"ParameterValueSet","Previous Formula":"'-","Previous Actual Value":"'3,78"}</t>
  </si>
  <si>
    <t>Maximum solar flux / irradiance</t>
  </si>
  <si>
    <t>3,78</t>
  </si>
  <si>
    <t>1322</t>
  </si>
  <si>
    <t>{"Kind":"PS","Identifier":"MIS\\irr_max\\\\","Computed":"1322","Manual":"-","Reference":"-","Switch":"COMPUTED","Path":"MIS\\irr_max\\\\","Actual Value":"","Scale":"W·m⁻²","Parameter Type":"irr_max","State":"","Option":"","Owner":"MIS","Grouping":"","Parameter Type Categories":"","Unique Id":"827c3d58-223b-479c-aea7-01b139931784","ClassKind":"ParameterSubscriptionValueSet","Previous Actual Value":"'1322"}</t>
  </si>
  <si>
    <t>2018-09-07 09:44:09</t>
  </si>
  <si>
    <t>{"Kind":"P","Identifier":"AOC\\MAX_THR_ARM\\\\","Computed":"-","Manual":"0,135","Reference":"-","Switch":"MANUAL","Path":"AOC\\MAX_THR_ARM\\\\","Actual Value":"","Scale":"m","Parameter Type":"MAX_THR_ARM","State":"","Option":"","Owner":"AOC","Grouping":"","Parameter Type Categories":"","Unique Id":"afa19153-d003-47d5-8410-d15eccb86b0d","ClassKind":"ParameterValueSet","Previous Formula":"'-","Previous Actual Value":"'0,135"}</t>
  </si>
  <si>
    <t>{"Kind":"P","Identifier":"AOC\\THR_B_T\\\\","Computed":"-","Manual":"0","Reference":"-","Switch":"MANUAL","Path":"AOC\\THR_B_T\\\\","Actual Value":"","Scale":"s","Parameter Type":"THR_B_T","State":"","Option":"","Owner":"AOC","Grouping":"","Parameter Type Categories":"","Unique Id":"75af9539-75bb-4e5d-8d41-e77d3d4f768d","ClassKind":"ParameterValueSet","Previous Formula":"'-","Previous Actual Value":"'0"}</t>
  </si>
  <si>
    <t>{"Kind":"P","Identifier":"AOC\\Total_Mass_ADCS\\\\","Computed":"-","Manual":"0,93","Reference":"-","Switch":"MANUAL","Path":"AOC\\Total_Mass_ADCS\\\\","Actual Value":"","Scale":"kg","Parameter Type":"Total_Mass_ADCS","State":"","Option":"","Owner":"AOC","Grouping":"","Parameter Type Categories":"","Unique Id":"b3360da2-f1b7-448a-b0ce-8ab8c9e5d903","ClassKind":"ParameterValueSet","Previous Formula":"'-","Previous Actual Value":"'0,93"}</t>
  </si>
  <si>
    <t>{"Kind":"P","Identifier":"AOC\\THR_THRU\\\\","Computed":"-","Manual":"2,91560866647577E-08","Reference":"-","Switch":"MANUAL","Path":"AOC\\THR_THRU\\\\","Actual Value":"","Scale":"N","Parameter Type":"THR_THRU","State":"","Option":"","Owner":"AOC","Grouping":"","Parameter Type Categories":"","Unique Id":"5f8f378e-71ea-4185-926e-eeb13cf2103a","ClassKind":"ParameterValueSet","Previous Formula":"'-","Previous Actual Value":"'2,91560866647577E-08"}</t>
  </si>
  <si>
    <t xml:space="preserve">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</si>
</sst>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???0.0;\-???0.0"/>
    <numFmt numFmtId="165" formatCode="???0.00&quot; bar&quot;;\-???0.00&quot; bar&quot;"/>
    <numFmt numFmtId="166" formatCode="yyyy\-mm\-dd"/>
    <numFmt numFmtId="167" formatCode="???0.00&quot; kg/m3&quot;;\-???0.00&quot; kg/m3&quot;"/>
    <numFmt numFmtId="168" formatCode="???0.00&quot; N s&quot;;\-???0.00&quot; N s&quot;"/>
    <numFmt numFmtId="169" formatCode="[&gt;1000]???0.00,&quot; kg m2&quot;;???0.00&quot; kgmm2&quot;"/>
    <numFmt numFmtId="170" formatCode="???0.00&quot; kg&quot;;\-???0.00&quot; kg&quot;"/>
    <numFmt numFmtId="171" formatCode="???0.00&quot; kg/s&quot;;\-???0.00&quot; kg/s&quot;"/>
    <numFmt numFmtId="172" formatCode="##,##0&quot; mm &quot;"/>
    <numFmt numFmtId="173" formatCode="???0.00&quot; N mm&quot;;\-???0.00&quot; N mm&quot;"/>
    <numFmt numFmtId="174" formatCode="??0.00&quot; N mm s&quot;;\-??0.00&quot; N mm s&quot;"/>
    <numFmt numFmtId="175" formatCode="&quot;$ &quot;#,##0.00_);[Red]&quot;($ &quot;#,##0.00\)"/>
    <numFmt numFmtId="176" formatCode="???0.00&quot; N&quot;;\-???0.00&quot; N&quot;"/>
    <numFmt numFmtId="177" formatCode="???0.00,,&quot; MPa&quot;;\-???0.00,,&quot; MPa&quot;"/>
    <numFmt numFmtId="178" formatCode="[&gt;1000]???0.0000,&quot; k&quot;;???0.0000\ "/>
    <numFmt numFmtId="179" formatCode="???0.00&quot; s&quot;;\-???0.00&quot; s&quot;"/>
    <numFmt numFmtId="180" formatCode="???0.00&quot; K&quot;;[Red]\-???0.00&quot; K&quot;"/>
    <numFmt numFmtId="181" formatCode="???0.00&quot; m/s&quot;;\-???0.00&quot; m/s&quot;"/>
    <numFmt numFmtId="182" formatCode="0.000E+00"/>
    <numFmt numFmtId="183" formatCode="0.000"/>
  </numFmts>
  <fonts count="44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b/>
      <sz val="11"/>
      <color theme="0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24"/>
      <color theme="0"/>
      <name val="Segoe UI"/>
      <family val="2"/>
      <scheme val="minor"/>
    </font>
    <font>
      <b/>
      <sz val="12"/>
      <color theme="0"/>
      <name val="Segoe UI"/>
      <family val="2"/>
      <scheme val="minor"/>
    </font>
    <font>
      <b/>
      <sz val="32"/>
      <color theme="0"/>
      <name val="Segoe UI"/>
      <family val="2"/>
      <scheme val="minor"/>
    </font>
    <font>
      <b/>
      <sz val="14"/>
      <color theme="0"/>
      <name val="Segoe UI"/>
      <family val="2"/>
      <scheme val="minor"/>
    </font>
    <font>
      <sz val="11"/>
      <color theme="0"/>
      <name val="Segoe U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2"/>
      <color indexed="9"/>
      <name val="Arial"/>
      <family val="2"/>
    </font>
    <font>
      <i/>
      <sz val="11"/>
      <color theme="1"/>
      <name val="Segoe UI"/>
      <family val="1"/>
      <scheme val="minor"/>
    </font>
    <font>
      <sz val="11"/>
      <name val="Segoe UI"/>
      <family val="2"/>
      <scheme val="minor"/>
    </font>
    <font>
      <i/>
      <sz val="11"/>
      <color theme="1"/>
      <name val="Segoe UI"/>
      <family val="2"/>
      <scheme val="minor"/>
    </font>
    <font>
      <sz val="16"/>
      <color theme="1"/>
      <name val="Segoe UI"/>
      <family val="2"/>
      <scheme val="minor"/>
    </font>
    <font>
      <sz val="11"/>
      <color rgb="FFFF0000"/>
      <name val="Segoe UI"/>
      <family val="2"/>
      <scheme val="minor"/>
    </font>
    <font>
      <sz val="12"/>
      <color theme="1"/>
      <name val="Segoe UI"/>
      <family val="2"/>
      <scheme val="minor"/>
    </font>
    <font>
      <sz val="10"/>
      <color theme="1"/>
      <name val="Segoe UI"/>
      <family val="2"/>
      <scheme val="minor"/>
    </font>
    <font>
      <sz val="12"/>
      <color theme="0"/>
      <name val="Segoe UI"/>
      <family val="2"/>
      <scheme val="minor"/>
    </font>
    <font>
      <sz val="9"/>
      <color theme="0"/>
      <name val="Segoe UI"/>
      <family val="2"/>
      <scheme val="minor"/>
    </font>
    <font>
      <sz val="32"/>
      <color theme="0"/>
      <name val="Segoe UI"/>
      <family val="2"/>
      <scheme val="minor"/>
    </font>
    <font>
      <sz val="11"/>
      <color rgb="FF002060"/>
      <name val="Segoe UI"/>
      <family val="2"/>
      <scheme val="minor"/>
    </font>
    <font>
      <sz val="36"/>
      <color rgb="FF002060"/>
      <name val="Segoe UI"/>
      <family val="2"/>
      <scheme val="minor"/>
    </font>
    <font>
      <sz val="14"/>
      <color rgb="FF002060"/>
      <name val="Segoe UI"/>
      <family val="2"/>
      <scheme val="minor"/>
    </font>
    <font>
      <b/>
      <sz val="12"/>
      <color theme="1"/>
      <name val="Segoe UI"/>
      <family val="2"/>
      <scheme val="minor"/>
    </font>
    <font>
      <b/>
      <sz val="8"/>
      <color theme="0"/>
      <name val="Segoe UI"/>
      <family val="2"/>
      <scheme val="minor"/>
    </font>
    <font>
      <b/>
      <sz val="12"/>
      <name val="Segoe UI"/>
      <family val="2"/>
      <scheme val="minor"/>
    </font>
    <font>
      <sz val="9"/>
      <color theme="1"/>
      <name val="Segoe UI"/>
      <family val="2"/>
      <scheme val="minor"/>
    </font>
    <font>
      <i/>
      <sz val="11"/>
      <color theme="0"/>
      <name val="Segoe UI"/>
      <family val="2"/>
      <scheme val="minor"/>
    </font>
    <font>
      <i/>
      <sz val="12"/>
      <color theme="1"/>
      <name val="Segoe UI"/>
      <family val="2"/>
      <scheme val="minor"/>
    </font>
    <font>
      <sz val="10"/>
      <color theme="1"/>
      <name val="Consolas"/>
      <family val="3"/>
    </font>
    <font>
      <b/>
      <i/>
      <sz val="10"/>
      <color theme="0"/>
      <name val="Consolas"/>
      <family val="3"/>
    </font>
    <font>
      <b/>
      <i/>
      <sz val="11"/>
      <color theme="0"/>
      <name val="Consolas"/>
      <family val="3"/>
    </font>
    <font>
      <sz val="8"/>
      <color theme="1"/>
      <name val="Segoe UI"/>
      <family val="2"/>
      <scheme val="minor"/>
    </font>
    <font>
      <sz val="6"/>
      <color theme="1"/>
      <name val="Segoe UI"/>
      <family val="2"/>
      <scheme val="minor"/>
    </font>
    <font>
      <sz val="7"/>
      <color theme="0"/>
      <name val="Segoe UI"/>
      <family val="2"/>
      <scheme val="minor"/>
    </font>
    <font>
      <sz val="8"/>
      <color theme="1"/>
      <name val="Segoe UI"/>
      <family val="2"/>
    </font>
    <font>
      <b/>
      <sz val="11"/>
      <name val="Segoe UI"/>
      <family val="2"/>
      <scheme val="minor"/>
    </font>
    <font>
      <b/>
      <i/>
      <sz val="11"/>
      <color theme="0"/>
      <name val="Segoe UI"/>
      <family val="2"/>
      <scheme val="minor"/>
    </font>
    <font>
      <b/>
      <sz val="10"/>
      <color theme="0"/>
      <name val="Segoe U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6C9E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indexed="22"/>
        <bgColor indexed="31"/>
      </patternFill>
    </fill>
    <fill>
      <patternFill patternType="solid">
        <fgColor indexed="12"/>
        <bgColor indexed="39"/>
      </patternFill>
    </fill>
    <fill>
      <patternFill patternType="solid">
        <fgColor indexed="62"/>
        <bgColor indexed="56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5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thick">
        <color rgb="FF00206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0" tint="-0.14996795556505021"/>
      </bottom>
      <diagonal/>
    </border>
  </borders>
  <cellStyleXfs count="52">
    <xf numFmtId="0" fontId="0" fillId="0" borderId="0"/>
    <xf numFmtId="0" fontId="9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10" fillId="0" borderId="0"/>
    <xf numFmtId="164" fontId="10" fillId="0" borderId="0" applyFill="0" applyBorder="0" applyProtection="0">
      <alignment horizontal="left"/>
    </xf>
    <xf numFmtId="165" fontId="10" fillId="0" borderId="0" applyFill="0" applyBorder="0" applyProtection="0">
      <alignment horizontal="left"/>
    </xf>
    <xf numFmtId="166" fontId="11" fillId="0" borderId="0" applyFill="0" applyBorder="0" applyProtection="0"/>
    <xf numFmtId="167" fontId="10" fillId="0" borderId="0" applyFill="0" applyBorder="0" applyProtection="0">
      <alignment horizontal="left"/>
    </xf>
    <xf numFmtId="0" fontId="12" fillId="23" borderId="0" applyBorder="0" applyProtection="0"/>
    <xf numFmtId="0" fontId="10" fillId="23" borderId="0" applyBorder="0" applyProtection="0">
      <alignment horizontal="center"/>
    </xf>
    <xf numFmtId="0" fontId="13" fillId="24" borderId="11" applyProtection="0">
      <alignment horizontal="center"/>
    </xf>
    <xf numFmtId="168" fontId="10" fillId="0" borderId="0" applyFill="0" applyBorder="0" applyProtection="0">
      <alignment horizontal="left"/>
    </xf>
    <xf numFmtId="169" fontId="10" fillId="0" borderId="0" applyFill="0" applyBorder="0" applyProtection="0">
      <alignment horizontal="left"/>
    </xf>
    <xf numFmtId="170" fontId="10" fillId="0" borderId="0" applyFill="0" applyBorder="0" applyProtection="0">
      <alignment horizontal="left"/>
    </xf>
    <xf numFmtId="171" fontId="10" fillId="0" borderId="0" applyFill="0" applyBorder="0" applyProtection="0">
      <alignment horizontal="left"/>
    </xf>
    <xf numFmtId="4" fontId="10" fillId="0" borderId="0" applyFill="0" applyBorder="0" applyAlignment="0" applyProtection="0"/>
    <xf numFmtId="172" fontId="10" fillId="0" borderId="0" applyFill="0" applyBorder="0" applyProtection="0"/>
    <xf numFmtId="173" fontId="10" fillId="0" borderId="0" applyFill="0" applyBorder="0" applyProtection="0">
      <alignment horizontal="left"/>
    </xf>
    <xf numFmtId="174" fontId="10" fillId="0" borderId="0" applyFill="0" applyBorder="0" applyProtection="0">
      <alignment horizontal="left"/>
    </xf>
    <xf numFmtId="175" fontId="10" fillId="0" borderId="0" applyFill="0" applyBorder="0" applyAlignment="0" applyProtection="0"/>
    <xf numFmtId="176" fontId="10" fillId="0" borderId="0" applyFill="0" applyBorder="0" applyProtection="0">
      <alignment horizontal="left"/>
    </xf>
    <xf numFmtId="0" fontId="14" fillId="25" borderId="0" applyBorder="0" applyProtection="0"/>
    <xf numFmtId="177" fontId="10" fillId="0" borderId="0" applyFill="0" applyBorder="0" applyProtection="0">
      <alignment horizontal="left"/>
    </xf>
    <xf numFmtId="9" fontId="10" fillId="0" borderId="0" applyFill="0" applyBorder="0" applyAlignment="0" applyProtection="0"/>
    <xf numFmtId="178" fontId="10" fillId="0" borderId="0" applyFill="0" applyBorder="0" applyProtection="0">
      <alignment horizontal="left"/>
    </xf>
    <xf numFmtId="179" fontId="10" fillId="0" borderId="0" applyFill="0" applyBorder="0" applyProtection="0">
      <alignment horizontal="left"/>
    </xf>
    <xf numFmtId="3" fontId="10" fillId="0" borderId="0"/>
    <xf numFmtId="180" fontId="10" fillId="0" borderId="0" applyFill="0" applyBorder="0" applyProtection="0">
      <alignment horizontal="left"/>
    </xf>
    <xf numFmtId="0" fontId="10" fillId="0" borderId="0" applyFill="0" applyBorder="0" applyProtection="0"/>
    <xf numFmtId="0" fontId="10" fillId="23" borderId="0" applyBorder="0" applyProtection="0"/>
    <xf numFmtId="181" fontId="10" fillId="0" borderId="0" applyFill="0" applyBorder="0" applyProtection="0">
      <alignment horizontal="left"/>
    </xf>
    <xf numFmtId="0" fontId="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9" fillId="39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40" borderId="0" applyNumberFormat="0" applyBorder="0" applyAlignment="0" applyProtection="0"/>
    <xf numFmtId="0" fontId="9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9" fontId="1" fillId="0" borderId="0" applyFont="0" applyFill="0" applyBorder="0" applyAlignment="0" applyProtection="0"/>
  </cellStyleXfs>
  <cellXfs count="428">
    <xf numFmtId="0" fontId="0" fillId="0" borderId="0" xfId="0"/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0" fillId="9" borderId="1" xfId="0" applyFont="1" applyFill="1" applyBorder="1" applyAlignment="1">
      <alignment vertical="center"/>
    </xf>
    <xf numFmtId="0" fontId="0" fillId="10" borderId="1" xfId="0" applyFont="1" applyFill="1" applyBorder="1" applyAlignment="1">
      <alignment vertical="center"/>
    </xf>
    <xf numFmtId="0" fontId="0" fillId="11" borderId="1" xfId="0" applyFont="1" applyFill="1" applyBorder="1" applyAlignment="1">
      <alignment vertical="center"/>
    </xf>
    <xf numFmtId="0" fontId="0" fillId="12" borderId="1" xfId="0" applyFont="1" applyFill="1" applyBorder="1" applyAlignment="1">
      <alignment vertical="center"/>
    </xf>
    <xf numFmtId="0" fontId="0" fillId="13" borderId="1" xfId="0" applyFont="1" applyFill="1" applyBorder="1" applyAlignment="1">
      <alignment vertical="center"/>
    </xf>
    <xf numFmtId="0" fontId="0" fillId="15" borderId="1" xfId="0" applyFont="1" applyFill="1" applyBorder="1" applyAlignment="1">
      <alignment vertical="center"/>
    </xf>
    <xf numFmtId="0" fontId="0" fillId="14" borderId="1" xfId="0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0" fillId="3" borderId="0" xfId="0" applyFill="1" applyAlignment="1"/>
    <xf numFmtId="0" fontId="4" fillId="3" borderId="0" xfId="0" applyFont="1" applyFill="1" applyBorder="1" applyAlignment="1">
      <alignment vertical="center"/>
    </xf>
    <xf numFmtId="0" fontId="4" fillId="2" borderId="0" xfId="0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0" fillId="18" borderId="3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0" fillId="18" borderId="1" xfId="0" applyFont="1" applyFill="1" applyBorder="1" applyAlignment="1">
      <alignment horizontal="center" vertical="center"/>
    </xf>
    <xf numFmtId="0" fontId="1" fillId="18" borderId="3" xfId="0" applyFont="1" applyFill="1" applyBorder="1" applyAlignment="1">
      <alignment vertical="center"/>
    </xf>
    <xf numFmtId="0" fontId="9" fillId="36" borderId="12" xfId="44" applyBorder="1" applyAlignment="1">
      <alignment vertical="center"/>
    </xf>
    <xf numFmtId="0" fontId="9" fillId="31" borderId="12" xfId="37" applyBorder="1" applyAlignment="1">
      <alignment vertical="center"/>
    </xf>
    <xf numFmtId="0" fontId="9" fillId="19" borderId="12" xfId="1" applyBorder="1" applyAlignment="1">
      <alignment vertical="center"/>
    </xf>
    <xf numFmtId="0" fontId="9" fillId="27" borderId="12" xfId="33" applyBorder="1" applyAlignment="1">
      <alignment vertical="center"/>
    </xf>
    <xf numFmtId="0" fontId="15" fillId="26" borderId="12" xfId="4" applyFont="1" applyFill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2" fontId="0" fillId="37" borderId="12" xfId="45" applyNumberFormat="1" applyFont="1" applyBorder="1" applyAlignment="1">
      <alignment horizontal="center" vertical="center"/>
    </xf>
    <xf numFmtId="2" fontId="0" fillId="32" borderId="12" xfId="38" applyNumberFormat="1" applyFont="1" applyBorder="1" applyAlignment="1">
      <alignment horizontal="center" vertical="center"/>
    </xf>
    <xf numFmtId="2" fontId="0" fillId="20" borderId="12" xfId="2" applyNumberFormat="1" applyFont="1" applyBorder="1" applyAlignment="1">
      <alignment horizontal="center" vertical="center"/>
    </xf>
    <xf numFmtId="2" fontId="0" fillId="28" borderId="12" xfId="34" applyNumberFormat="1" applyFont="1" applyBorder="1" applyAlignment="1">
      <alignment horizontal="center" vertical="center"/>
    </xf>
    <xf numFmtId="0" fontId="1" fillId="35" borderId="12" xfId="42" applyBorder="1" applyAlignment="1">
      <alignment horizontal="center" vertical="center"/>
    </xf>
    <xf numFmtId="0" fontId="4" fillId="21" borderId="12" xfId="3" applyBorder="1" applyAlignment="1">
      <alignment horizontal="center" vertical="center"/>
    </xf>
    <xf numFmtId="0" fontId="0" fillId="35" borderId="12" xfId="42" applyFont="1" applyBorder="1" applyAlignment="1">
      <alignment horizontal="center" vertical="center"/>
    </xf>
    <xf numFmtId="0" fontId="4" fillId="3" borderId="20" xfId="0" applyFont="1" applyFill="1" applyBorder="1" applyAlignment="1">
      <alignment vertical="center"/>
    </xf>
    <xf numFmtId="0" fontId="7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17" fillId="21" borderId="12" xfId="3" applyFont="1" applyBorder="1" applyAlignment="1">
      <alignment horizontal="center" vertical="center"/>
    </xf>
    <xf numFmtId="0" fontId="1" fillId="30" borderId="12" xfId="36" quotePrefix="1" applyBorder="1" applyAlignment="1">
      <alignment vertical="center"/>
    </xf>
    <xf numFmtId="0" fontId="0" fillId="21" borderId="12" xfId="3" applyFont="1" applyBorder="1" applyAlignment="1">
      <alignment horizontal="center" vertical="center"/>
    </xf>
    <xf numFmtId="0" fontId="0" fillId="3" borderId="12" xfId="0" applyFont="1" applyFill="1" applyBorder="1" applyAlignment="1">
      <alignment vertical="center"/>
    </xf>
    <xf numFmtId="0" fontId="1" fillId="30" borderId="12" xfId="36" quotePrefix="1" applyBorder="1" applyAlignment="1">
      <alignment horizontal="left" vertical="center"/>
    </xf>
    <xf numFmtId="0" fontId="0" fillId="30" borderId="12" xfId="36" quotePrefix="1" applyFont="1" applyBorder="1" applyAlignment="1">
      <alignment horizontal="left" vertical="center"/>
    </xf>
    <xf numFmtId="0" fontId="0" fillId="35" borderId="12" xfId="42" applyFont="1" applyBorder="1" applyAlignment="1">
      <alignment horizontal="center" vertical="center"/>
    </xf>
    <xf numFmtId="0" fontId="1" fillId="30" borderId="12" xfId="36" quotePrefix="1" applyBorder="1" applyAlignment="1">
      <alignment vertical="center"/>
    </xf>
    <xf numFmtId="0" fontId="1" fillId="35" borderId="12" xfId="42" applyFont="1" applyBorder="1" applyAlignment="1">
      <alignment horizontal="center" vertical="center"/>
    </xf>
    <xf numFmtId="0" fontId="20" fillId="35" borderId="12" xfId="42" applyFont="1" applyBorder="1" applyAlignment="1">
      <alignment horizontal="center" vertical="center"/>
    </xf>
    <xf numFmtId="11" fontId="0" fillId="37" borderId="13" xfId="45" applyNumberFormat="1" applyFont="1" applyBorder="1" applyAlignment="1">
      <alignment horizontal="center" vertical="center"/>
    </xf>
    <xf numFmtId="11" fontId="0" fillId="32" borderId="13" xfId="38" applyNumberFormat="1" applyFont="1" applyBorder="1" applyAlignment="1">
      <alignment horizontal="center" vertical="center"/>
    </xf>
    <xf numFmtId="11" fontId="0" fillId="20" borderId="13" xfId="2" applyNumberFormat="1" applyFont="1" applyBorder="1" applyAlignment="1">
      <alignment horizontal="center" vertical="center"/>
    </xf>
    <xf numFmtId="11" fontId="0" fillId="28" borderId="13" xfId="34" applyNumberFormat="1" applyFont="1" applyBorder="1" applyAlignment="1">
      <alignment horizontal="center" vertical="center"/>
    </xf>
    <xf numFmtId="0" fontId="0" fillId="35" borderId="12" xfId="42" applyFont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0" fillId="3" borderId="0" xfId="0" applyFont="1" applyFill="1" applyAlignment="1">
      <alignment vertical="center"/>
    </xf>
    <xf numFmtId="0" fontId="6" fillId="7" borderId="1" xfId="0" applyFont="1" applyFill="1" applyBorder="1" applyAlignment="1">
      <alignment horizontal="center" vertical="center"/>
    </xf>
    <xf numFmtId="0" fontId="0" fillId="16" borderId="1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>
      <alignment vertical="center"/>
    </xf>
    <xf numFmtId="0" fontId="1" fillId="34" borderId="12" xfId="41" applyBorder="1" applyAlignment="1">
      <alignment vertical="center"/>
    </xf>
    <xf numFmtId="0" fontId="0" fillId="35" borderId="12" xfId="42" applyFont="1" applyBorder="1" applyAlignment="1">
      <alignment vertical="center"/>
    </xf>
    <xf numFmtId="0" fontId="0" fillId="3" borderId="0" xfId="0" applyFont="1" applyFill="1" applyAlignment="1"/>
    <xf numFmtId="0" fontId="0" fillId="3" borderId="24" xfId="0" applyFont="1" applyFill="1" applyBorder="1" applyAlignment="1"/>
    <xf numFmtId="0" fontId="22" fillId="39" borderId="13" xfId="40" applyFont="1" applyBorder="1" applyAlignment="1">
      <alignment horizontal="center" vertical="center" wrapText="1"/>
    </xf>
    <xf numFmtId="0" fontId="22" fillId="39" borderId="12" xfId="40" applyFont="1" applyBorder="1" applyAlignment="1">
      <alignment horizontal="center" vertical="center" wrapText="1"/>
    </xf>
    <xf numFmtId="0" fontId="7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25" fillId="3" borderId="0" xfId="0" applyFont="1" applyFill="1" applyAlignment="1">
      <alignment horizontal="left" vertical="center"/>
    </xf>
    <xf numFmtId="0" fontId="4" fillId="3" borderId="25" xfId="0" applyFont="1" applyFill="1" applyBorder="1" applyAlignment="1">
      <alignment vertical="center"/>
    </xf>
    <xf numFmtId="0" fontId="23" fillId="39" borderId="12" xfId="40" applyFont="1" applyBorder="1" applyAlignment="1">
      <alignment vertical="center"/>
    </xf>
    <xf numFmtId="0" fontId="22" fillId="39" borderId="12" xfId="40" applyFont="1" applyBorder="1" applyAlignment="1">
      <alignment horizontal="center" vertical="center"/>
    </xf>
    <xf numFmtId="0" fontId="5" fillId="3" borderId="25" xfId="0" applyFont="1" applyFill="1" applyBorder="1" applyAlignment="1">
      <alignment vertical="center"/>
    </xf>
    <xf numFmtId="0" fontId="1" fillId="35" borderId="12" xfId="42" applyFont="1" applyBorder="1" applyAlignment="1">
      <alignment horizontal="center" vertical="center"/>
    </xf>
    <xf numFmtId="0" fontId="0" fillId="35" borderId="12" xfId="42" applyFont="1" applyBorder="1" applyAlignment="1">
      <alignment horizontal="center" vertical="center"/>
    </xf>
    <xf numFmtId="0" fontId="0" fillId="34" borderId="12" xfId="41" applyFont="1" applyBorder="1" applyAlignment="1">
      <alignment vertical="center"/>
    </xf>
    <xf numFmtId="0" fontId="28" fillId="35" borderId="12" xfId="42" applyFont="1" applyBorder="1" applyAlignment="1">
      <alignment horizontal="center" vertical="center"/>
    </xf>
    <xf numFmtId="0" fontId="0" fillId="35" borderId="12" xfId="42" applyFont="1" applyBorder="1" applyAlignment="1">
      <alignment horizontal="center" vertical="center"/>
    </xf>
    <xf numFmtId="0" fontId="22" fillId="39" borderId="12" xfId="40" applyFont="1" applyBorder="1" applyAlignment="1">
      <alignment horizontal="center" vertical="center" wrapText="1"/>
    </xf>
    <xf numFmtId="0" fontId="0" fillId="40" borderId="12" xfId="43" applyFont="1" applyBorder="1" applyAlignment="1">
      <alignment vertical="center"/>
    </xf>
    <xf numFmtId="0" fontId="9" fillId="39" borderId="12" xfId="40" applyFont="1" applyBorder="1" applyAlignment="1">
      <alignment vertical="center"/>
    </xf>
    <xf numFmtId="0" fontId="1" fillId="35" borderId="12" xfId="42" applyBorder="1" applyAlignment="1">
      <alignment vertical="center"/>
    </xf>
    <xf numFmtId="0" fontId="29" fillId="7" borderId="1" xfId="0" applyFont="1" applyFill="1" applyBorder="1" applyAlignment="1">
      <alignment horizontal="center" vertical="center"/>
    </xf>
    <xf numFmtId="0" fontId="1" fillId="41" borderId="12" xfId="47" applyFont="1" applyBorder="1" applyAlignment="1" applyProtection="1">
      <alignment horizontal="center" vertical="center"/>
      <protection locked="0"/>
    </xf>
    <xf numFmtId="0" fontId="28" fillId="41" borderId="12" xfId="47" applyFont="1" applyBorder="1" applyAlignment="1" applyProtection="1">
      <alignment horizontal="center" vertical="center"/>
      <protection locked="0"/>
    </xf>
    <xf numFmtId="0" fontId="21" fillId="41" borderId="12" xfId="47" applyFont="1" applyBorder="1" applyAlignment="1" applyProtection="1">
      <alignment horizontal="center" vertical="center"/>
      <protection locked="0"/>
    </xf>
    <xf numFmtId="0" fontId="1" fillId="41" borderId="12" xfId="47" applyBorder="1" applyAlignment="1" applyProtection="1">
      <alignment horizontal="center" vertical="center"/>
      <protection locked="0"/>
    </xf>
    <xf numFmtId="2" fontId="9" fillId="39" borderId="12" xfId="40" applyNumberFormat="1" applyBorder="1" applyAlignment="1">
      <alignment horizontal="center" vertical="center"/>
    </xf>
    <xf numFmtId="11" fontId="9" fillId="39" borderId="12" xfId="40" applyNumberFormat="1" applyBorder="1" applyAlignment="1">
      <alignment horizontal="center" vertical="center"/>
    </xf>
    <xf numFmtId="0" fontId="31" fillId="16" borderId="1" xfId="0" applyFont="1" applyFill="1" applyBorder="1" applyAlignment="1" applyProtection="1">
      <alignment horizontal="center" vertical="center"/>
      <protection locked="0"/>
    </xf>
    <xf numFmtId="11" fontId="1" fillId="41" borderId="12" xfId="47" applyNumberFormat="1" applyFont="1" applyBorder="1" applyAlignment="1" applyProtection="1">
      <alignment horizontal="center" vertical="center"/>
      <protection locked="0"/>
    </xf>
    <xf numFmtId="0" fontId="24" fillId="2" borderId="0" xfId="0" applyFont="1" applyFill="1" applyAlignment="1">
      <alignment vertical="center"/>
    </xf>
    <xf numFmtId="0" fontId="33" fillId="40" borderId="12" xfId="43" applyFont="1" applyBorder="1" applyAlignment="1">
      <alignment horizontal="center" vertical="center"/>
    </xf>
    <xf numFmtId="0" fontId="17" fillId="40" borderId="12" xfId="43" applyFont="1" applyBorder="1" applyAlignment="1">
      <alignment horizontal="center" vertical="center"/>
    </xf>
    <xf numFmtId="0" fontId="34" fillId="0" borderId="0" xfId="0" applyFont="1"/>
    <xf numFmtId="0" fontId="35" fillId="44" borderId="26" xfId="0" applyFont="1" applyFill="1" applyBorder="1" applyAlignment="1"/>
    <xf numFmtId="0" fontId="35" fillId="44" borderId="27" xfId="0" applyFont="1" applyFill="1" applyBorder="1" applyAlignment="1"/>
    <xf numFmtId="0" fontId="35" fillId="44" borderId="0" xfId="0" applyFont="1" applyFill="1" applyBorder="1" applyAlignment="1"/>
    <xf numFmtId="0" fontId="35" fillId="44" borderId="28" xfId="0" applyFont="1" applyFill="1" applyBorder="1" applyAlignment="1"/>
    <xf numFmtId="0" fontId="36" fillId="44" borderId="0" xfId="0" applyFont="1" applyFill="1"/>
    <xf numFmtId="0" fontId="35" fillId="43" borderId="26" xfId="0" applyFont="1" applyFill="1" applyBorder="1" applyAlignment="1"/>
    <xf numFmtId="0" fontId="35" fillId="43" borderId="27" xfId="0" applyFont="1" applyFill="1" applyBorder="1" applyAlignment="1"/>
    <xf numFmtId="0" fontId="35" fillId="43" borderId="28" xfId="0" applyFont="1" applyFill="1" applyBorder="1" applyAlignment="1"/>
    <xf numFmtId="0" fontId="35" fillId="43" borderId="0" xfId="0" applyFont="1" applyFill="1"/>
    <xf numFmtId="0" fontId="34" fillId="0" borderId="0" xfId="0" applyFont="1" applyFill="1"/>
    <xf numFmtId="0" fontId="0" fillId="35" borderId="12" xfId="42" applyFont="1" applyBorder="1" applyAlignment="1">
      <alignment horizontal="center" vertical="center"/>
    </xf>
    <xf numFmtId="0" fontId="1" fillId="35" borderId="12" xfId="42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9" fillId="39" borderId="12" xfId="40" applyFont="1" applyBorder="1" applyAlignment="1">
      <alignment horizontal="center" vertical="center"/>
    </xf>
    <xf numFmtId="0" fontId="23" fillId="39" borderId="12" xfId="40" applyFont="1" applyBorder="1" applyAlignment="1">
      <alignment horizontal="center" vertical="center"/>
    </xf>
    <xf numFmtId="0" fontId="38" fillId="35" borderId="12" xfId="42" applyFont="1" applyBorder="1" applyAlignment="1">
      <alignment horizontal="center" vertical="center"/>
    </xf>
    <xf numFmtId="0" fontId="9" fillId="40" borderId="12" xfId="43" applyFont="1" applyBorder="1" applyAlignment="1">
      <alignment horizontal="center" vertical="center"/>
    </xf>
    <xf numFmtId="0" fontId="23" fillId="40" borderId="12" xfId="43" applyFont="1" applyBorder="1" applyAlignment="1">
      <alignment horizontal="center" vertical="center"/>
    </xf>
    <xf numFmtId="0" fontId="39" fillId="40" borderId="12" xfId="43" applyFont="1" applyBorder="1" applyAlignment="1">
      <alignment horizontal="center" vertical="center"/>
    </xf>
    <xf numFmtId="0" fontId="37" fillId="16" borderId="1" xfId="0" applyFont="1" applyFill="1" applyBorder="1" applyAlignment="1" applyProtection="1">
      <alignment horizontal="left" vertical="center"/>
    </xf>
    <xf numFmtId="0" fontId="37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2" xfId="0" applyFont="1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9" fontId="0" fillId="3" borderId="2" xfId="51" applyFont="1" applyFill="1" applyBorder="1" applyAlignment="1" applyProtection="1">
      <alignment horizontal="center" vertical="center"/>
      <protection locked="0"/>
    </xf>
    <xf numFmtId="0" fontId="22" fillId="39" borderId="13" xfId="40" applyFont="1" applyBorder="1" applyAlignment="1">
      <alignment horizontal="center" vertical="center" wrapText="1"/>
    </xf>
    <xf numFmtId="0" fontId="22" fillId="39" borderId="12" xfId="40" applyFont="1" applyBorder="1" applyAlignment="1">
      <alignment horizontal="center" vertical="center" wrapText="1"/>
    </xf>
    <xf numFmtId="0" fontId="3" fillId="35" borderId="12" xfId="42" applyFont="1" applyBorder="1" applyAlignment="1">
      <alignment horizontal="center" vertical="center"/>
    </xf>
    <xf numFmtId="0" fontId="4" fillId="45" borderId="0" xfId="0" applyFont="1" applyFill="1" applyAlignment="1">
      <alignment vertical="center"/>
    </xf>
    <xf numFmtId="0" fontId="4" fillId="3" borderId="29" xfId="0" applyFont="1" applyFill="1" applyBorder="1" applyAlignment="1">
      <alignment vertical="center"/>
    </xf>
    <xf numFmtId="0" fontId="0" fillId="45" borderId="12" xfId="43" applyFont="1" applyFill="1" applyBorder="1" applyAlignment="1">
      <alignment vertical="center"/>
    </xf>
    <xf numFmtId="0" fontId="0" fillId="45" borderId="12" xfId="42" applyFont="1" applyFill="1" applyBorder="1" applyAlignment="1">
      <alignment vertical="center"/>
    </xf>
    <xf numFmtId="0" fontId="1" fillId="45" borderId="12" xfId="42" applyFill="1" applyBorder="1" applyAlignment="1">
      <alignment vertical="center"/>
    </xf>
    <xf numFmtId="0" fontId="0" fillId="45" borderId="12" xfId="43" applyFont="1" applyFill="1" applyBorder="1" applyAlignment="1">
      <alignment horizontal="center" vertical="center"/>
    </xf>
    <xf numFmtId="0" fontId="0" fillId="45" borderId="12" xfId="42" applyFont="1" applyFill="1" applyBorder="1" applyAlignment="1">
      <alignment horizontal="center" vertical="center"/>
    </xf>
    <xf numFmtId="0" fontId="1" fillId="45" borderId="12" xfId="42" applyFill="1" applyBorder="1" applyAlignment="1">
      <alignment horizontal="center" vertical="center"/>
    </xf>
    <xf numFmtId="0" fontId="16" fillId="46" borderId="12" xfId="40" applyFont="1" applyFill="1" applyBorder="1" applyAlignment="1">
      <alignment horizontal="center" vertical="center" wrapText="1"/>
    </xf>
    <xf numFmtId="0" fontId="0" fillId="35" borderId="12" xfId="42" applyFont="1" applyBorder="1" applyAlignment="1">
      <alignment horizontal="center" vertical="center"/>
    </xf>
    <xf numFmtId="0" fontId="0" fillId="30" borderId="12" xfId="36" quotePrefix="1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2" fontId="0" fillId="0" borderId="0" xfId="0" pivotButton="1" applyNumberFormat="1"/>
    <xf numFmtId="2" fontId="0" fillId="0" borderId="0" xfId="0" applyNumberFormat="1"/>
    <xf numFmtId="0" fontId="0" fillId="30" borderId="12" xfId="36" quotePrefix="1" applyFont="1" applyBorder="1" applyAlignment="1">
      <alignment vertical="center"/>
    </xf>
    <xf numFmtId="0" fontId="0" fillId="0" borderId="0" xfId="0" pivotButton="1"/>
    <xf numFmtId="0" fontId="0" fillId="35" borderId="12" xfId="42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quotePrefix="1" applyFill="1" applyProtection="1"/>
    <xf numFmtId="0" fontId="0" fillId="0" borderId="0" xfId="0" applyNumberFormat="1" applyFill="1" applyProtection="1"/>
    <xf numFmtId="11" fontId="0" fillId="0" borderId="0" xfId="0" applyNumberFormat="1" applyFill="1" applyProtection="1"/>
    <xf numFmtId="0" fontId="0" fillId="16" borderId="2" xfId="0" applyFont="1" applyFill="1" applyBorder="1" applyAlignment="1" applyProtection="1">
      <alignment horizontal="center" vertical="center"/>
      <protection locked="0"/>
    </xf>
    <xf numFmtId="0" fontId="0" fillId="16" borderId="4" xfId="0" applyFont="1" applyFill="1" applyBorder="1" applyAlignment="1" applyProtection="1">
      <alignment horizontal="center" vertical="center"/>
      <protection locked="0"/>
    </xf>
    <xf numFmtId="0" fontId="0" fillId="16" borderId="3" xfId="0" applyFont="1" applyFill="1" applyBorder="1" applyAlignment="1" applyProtection="1">
      <alignment horizontal="center" vertical="center"/>
      <protection locked="0"/>
    </xf>
    <xf numFmtId="0" fontId="6" fillId="7" borderId="5" xfId="0" applyFont="1" applyFill="1" applyBorder="1" applyAlignment="1" applyProtection="1">
      <alignment horizontal="center" vertical="center"/>
    </xf>
    <xf numFmtId="0" fontId="6" fillId="7" borderId="6" xfId="0" applyFont="1" applyFill="1" applyBorder="1" applyAlignment="1" applyProtection="1">
      <alignment horizontal="center" vertical="center"/>
    </xf>
    <xf numFmtId="0" fontId="6" fillId="7" borderId="9" xfId="0" applyFont="1" applyFill="1" applyBorder="1" applyAlignment="1" applyProtection="1">
      <alignment horizontal="center" vertical="center"/>
    </xf>
    <xf numFmtId="0" fontId="6" fillId="7" borderId="7" xfId="0" applyFont="1" applyFill="1" applyBorder="1" applyAlignment="1" applyProtection="1">
      <alignment horizontal="center" vertical="center"/>
    </xf>
    <xf numFmtId="0" fontId="6" fillId="7" borderId="8" xfId="0" applyFont="1" applyFill="1" applyBorder="1" applyAlignment="1" applyProtection="1">
      <alignment horizontal="center" vertical="center"/>
    </xf>
    <xf numFmtId="0" fontId="6" fillId="7" borderId="10" xfId="0" applyFont="1" applyFill="1" applyBorder="1" applyAlignment="1" applyProtection="1">
      <alignment horizontal="center"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6" fillId="7" borderId="5" xfId="0" applyFont="1" applyFill="1" applyBorder="1" applyAlignment="1" applyProtection="1">
      <alignment horizontal="center" vertical="center" wrapText="1"/>
    </xf>
    <xf numFmtId="0" fontId="6" fillId="7" borderId="6" xfId="0" applyFont="1" applyFill="1" applyBorder="1" applyAlignment="1" applyProtection="1">
      <alignment horizontal="center" vertical="center" wrapText="1"/>
    </xf>
    <xf numFmtId="0" fontId="6" fillId="7" borderId="9" xfId="0" applyFont="1" applyFill="1" applyBorder="1" applyAlignment="1" applyProtection="1">
      <alignment horizontal="center" vertical="center" wrapText="1"/>
    </xf>
    <xf numFmtId="0" fontId="6" fillId="7" borderId="7" xfId="0" applyFont="1" applyFill="1" applyBorder="1" applyAlignment="1" applyProtection="1">
      <alignment horizontal="center" vertical="center" wrapText="1"/>
    </xf>
    <xf numFmtId="0" fontId="6" fillId="7" borderId="8" xfId="0" applyFont="1" applyFill="1" applyBorder="1" applyAlignment="1" applyProtection="1">
      <alignment horizontal="center" vertical="center" wrapText="1"/>
    </xf>
    <xf numFmtId="0" fontId="6" fillId="7" borderId="10" xfId="0" applyFont="1" applyFill="1" applyBorder="1" applyAlignment="1" applyProtection="1">
      <alignment horizontal="center" vertical="center" wrapText="1"/>
    </xf>
    <xf numFmtId="0" fontId="4" fillId="8" borderId="2" xfId="0" applyFont="1" applyFill="1" applyBorder="1" applyAlignment="1" applyProtection="1">
      <alignment horizontal="center" vertical="center"/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6" fillId="7" borderId="2" xfId="0" applyFont="1" applyFill="1" applyBorder="1" applyAlignment="1" applyProtection="1">
      <alignment horizontal="center" vertical="center"/>
    </xf>
    <xf numFmtId="0" fontId="6" fillId="7" borderId="4" xfId="0" applyFont="1" applyFill="1" applyBorder="1" applyAlignment="1" applyProtection="1">
      <alignment horizontal="center" vertical="center"/>
    </xf>
    <xf numFmtId="0" fontId="6" fillId="7" borderId="3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7" borderId="6" xfId="0" applyFont="1" applyFill="1" applyBorder="1" applyAlignment="1" applyProtection="1">
      <alignment horizontal="center" vertical="center"/>
    </xf>
    <xf numFmtId="0" fontId="8" fillId="7" borderId="9" xfId="0" applyFont="1" applyFill="1" applyBorder="1" applyAlignment="1" applyProtection="1">
      <alignment horizontal="center" vertical="center"/>
    </xf>
    <xf numFmtId="0" fontId="8" fillId="7" borderId="7" xfId="0" applyFont="1" applyFill="1" applyBorder="1" applyAlignment="1" applyProtection="1">
      <alignment horizontal="center" vertical="center"/>
    </xf>
    <xf numFmtId="0" fontId="8" fillId="7" borderId="8" xfId="0" applyFont="1" applyFill="1" applyBorder="1" applyAlignment="1" applyProtection="1">
      <alignment horizontal="center" vertical="center"/>
    </xf>
    <xf numFmtId="0" fontId="8" fillId="7" borderId="10" xfId="0" applyFont="1" applyFill="1" applyBorder="1" applyAlignment="1" applyProtection="1">
      <alignment horizontal="center" vertical="center"/>
    </xf>
    <xf numFmtId="0" fontId="0" fillId="17" borderId="2" xfId="0" applyFont="1" applyFill="1" applyBorder="1" applyAlignment="1">
      <alignment horizontal="center" vertical="center"/>
    </xf>
    <xf numFmtId="0" fontId="0" fillId="17" borderId="4" xfId="0" applyFont="1" applyFill="1" applyBorder="1" applyAlignment="1">
      <alignment horizontal="center" vertical="center"/>
    </xf>
    <xf numFmtId="0" fontId="0" fillId="17" borderId="3" xfId="0" applyFont="1" applyFill="1" applyBorder="1" applyAlignment="1">
      <alignment horizontal="center" vertical="center"/>
    </xf>
    <xf numFmtId="0" fontId="4" fillId="17" borderId="3" xfId="0" applyFont="1" applyFill="1" applyBorder="1" applyAlignment="1">
      <alignment horizontal="center" vertical="center"/>
    </xf>
    <xf numFmtId="0" fontId="0" fillId="16" borderId="2" xfId="0" applyFont="1" applyFill="1" applyBorder="1" applyAlignment="1">
      <alignment horizontal="center" vertical="center"/>
    </xf>
    <xf numFmtId="0" fontId="0" fillId="16" borderId="3" xfId="0" applyFont="1" applyFill="1" applyBorder="1" applyAlignment="1">
      <alignment horizontal="center" vertical="center"/>
    </xf>
    <xf numFmtId="0" fontId="4" fillId="18" borderId="3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18" borderId="2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0" fillId="42" borderId="2" xfId="0" applyFont="1" applyFill="1" applyBorder="1" applyAlignment="1">
      <alignment horizontal="center" vertical="center"/>
    </xf>
    <xf numFmtId="0" fontId="0" fillId="18" borderId="3" xfId="0" applyFont="1" applyFill="1" applyBorder="1" applyAlignment="1">
      <alignment horizontal="center" vertical="center"/>
    </xf>
    <xf numFmtId="0" fontId="0" fillId="13" borderId="2" xfId="0" applyFont="1" applyFill="1" applyBorder="1" applyAlignment="1">
      <alignment horizontal="center" vertical="center"/>
    </xf>
    <xf numFmtId="0" fontId="0" fillId="12" borderId="2" xfId="0" applyFont="1" applyFill="1" applyBorder="1" applyAlignment="1">
      <alignment horizontal="center" vertical="center"/>
    </xf>
    <xf numFmtId="11" fontId="0" fillId="16" borderId="2" xfId="0" applyNumberFormat="1" applyFont="1" applyFill="1" applyBorder="1" applyAlignment="1" applyProtection="1">
      <alignment horizontal="center" vertical="center"/>
      <protection locked="0"/>
    </xf>
    <xf numFmtId="0" fontId="2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" fillId="17" borderId="3" xfId="0" applyFont="1" applyFill="1" applyBorder="1" applyAlignment="1">
      <alignment horizontal="center" vertical="center"/>
    </xf>
    <xf numFmtId="0" fontId="1" fillId="18" borderId="3" xfId="0" applyFont="1" applyFill="1" applyBorder="1" applyAlignment="1">
      <alignment horizontal="center" vertical="center"/>
    </xf>
    <xf numFmtId="2" fontId="0" fillId="17" borderId="2" xfId="0" applyNumberFormat="1" applyFont="1" applyFill="1" applyBorder="1" applyAlignment="1">
      <alignment horizontal="center" vertical="center"/>
    </xf>
    <xf numFmtId="2" fontId="1" fillId="18" borderId="3" xfId="0" applyNumberFormat="1" applyFont="1" applyFill="1" applyBorder="1" applyAlignment="1">
      <alignment horizontal="center" vertical="center"/>
    </xf>
    <xf numFmtId="2" fontId="1" fillId="17" borderId="3" xfId="0" applyNumberFormat="1" applyFont="1" applyFill="1" applyBorder="1" applyAlignment="1">
      <alignment horizontal="center" vertical="center"/>
    </xf>
    <xf numFmtId="0" fontId="0" fillId="17" borderId="2" xfId="0" applyNumberFormat="1" applyFont="1" applyFill="1" applyBorder="1" applyAlignment="1">
      <alignment horizontal="center" vertical="center"/>
    </xf>
    <xf numFmtId="0" fontId="0" fillId="47" borderId="2" xfId="0" applyFont="1" applyFill="1" applyBorder="1" applyAlignment="1">
      <alignment horizontal="center" vertical="center"/>
    </xf>
    <xf numFmtId="11" fontId="0" fillId="17" borderId="2" xfId="0" applyNumberFormat="1" applyFont="1" applyFill="1" applyBorder="1" applyAlignment="1">
      <alignment horizontal="center" vertical="center"/>
    </xf>
    <xf numFmtId="11" fontId="1" fillId="17" borderId="3" xfId="0" applyNumberFormat="1" applyFont="1" applyFill="1" applyBorder="1" applyAlignment="1">
      <alignment horizontal="center" vertical="center"/>
    </xf>
    <xf numFmtId="11" fontId="1" fillId="18" borderId="3" xfId="0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2" fontId="0" fillId="17" borderId="3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2" fillId="39" borderId="13" xfId="40" applyFont="1" applyBorder="1" applyAlignment="1">
      <alignment horizontal="center" vertical="center" wrapText="1"/>
    </xf>
    <xf numFmtId="0" fontId="22" fillId="39" borderId="14" xfId="40" applyFont="1" applyBorder="1" applyAlignment="1">
      <alignment horizontal="center" vertical="center" wrapText="1"/>
    </xf>
    <xf numFmtId="0" fontId="22" fillId="39" borderId="15" xfId="40" applyFont="1" applyBorder="1" applyAlignment="1">
      <alignment horizontal="center" vertical="center" wrapText="1"/>
    </xf>
    <xf numFmtId="0" fontId="1" fillId="40" borderId="12" xfId="43" applyFont="1" applyBorder="1" applyAlignment="1">
      <alignment horizontal="left" vertical="center" wrapText="1" indent="1"/>
    </xf>
    <xf numFmtId="0" fontId="0" fillId="35" borderId="13" xfId="42" applyFont="1" applyBorder="1" applyAlignment="1">
      <alignment horizontal="center" vertical="center"/>
    </xf>
    <xf numFmtId="0" fontId="1" fillId="35" borderId="15" xfId="42" applyFont="1" applyBorder="1" applyAlignment="1">
      <alignment horizontal="center" vertical="center"/>
    </xf>
    <xf numFmtId="0" fontId="0" fillId="40" borderId="12" xfId="43" applyFont="1" applyBorder="1" applyAlignment="1">
      <alignment horizontal="left" vertical="center" wrapText="1" indent="1"/>
    </xf>
    <xf numFmtId="0" fontId="1" fillId="35" borderId="12" xfId="42" applyFont="1" applyBorder="1" applyAlignment="1">
      <alignment horizontal="center" vertical="center"/>
    </xf>
    <xf numFmtId="0" fontId="1" fillId="35" borderId="13" xfId="42" applyFont="1" applyBorder="1" applyAlignment="1">
      <alignment horizontal="center" vertical="center"/>
    </xf>
    <xf numFmtId="0" fontId="43" fillId="2" borderId="13" xfId="40" applyFont="1" applyFill="1" applyBorder="1" applyAlignment="1">
      <alignment horizontal="center" vertical="center" wrapText="1"/>
    </xf>
    <xf numFmtId="0" fontId="43" fillId="2" borderId="14" xfId="40" applyFont="1" applyFill="1" applyBorder="1" applyAlignment="1">
      <alignment horizontal="center" vertical="center" wrapText="1"/>
    </xf>
    <xf numFmtId="0" fontId="22" fillId="39" borderId="13" xfId="40" applyFont="1" applyBorder="1" applyAlignment="1">
      <alignment horizontal="left" vertical="center" wrapText="1" indent="1"/>
    </xf>
    <xf numFmtId="0" fontId="22" fillId="39" borderId="14" xfId="40" applyFont="1" applyBorder="1" applyAlignment="1">
      <alignment horizontal="left" vertical="center" wrapText="1" indent="1"/>
    </xf>
    <xf numFmtId="0" fontId="0" fillId="35" borderId="12" xfId="42" applyFont="1" applyBorder="1" applyAlignment="1">
      <alignment horizontal="center" vertical="center"/>
    </xf>
    <xf numFmtId="0" fontId="18" fillId="35" borderId="12" xfId="42" applyFont="1" applyBorder="1" applyAlignment="1">
      <alignment horizontal="center" vertical="center"/>
    </xf>
    <xf numFmtId="0" fontId="18" fillId="40" borderId="12" xfId="43" applyFont="1" applyBorder="1" applyAlignment="1">
      <alignment horizontal="left" vertical="center" wrapText="1" indent="1"/>
    </xf>
    <xf numFmtId="2" fontId="18" fillId="35" borderId="12" xfId="42" applyNumberFormat="1" applyFont="1" applyBorder="1" applyAlignment="1">
      <alignment horizontal="right" vertical="center" indent="1"/>
    </xf>
    <xf numFmtId="0" fontId="1" fillId="35" borderId="12" xfId="42" applyFont="1" applyBorder="1" applyAlignment="1">
      <alignment horizontal="right" vertical="center" indent="1"/>
    </xf>
    <xf numFmtId="0" fontId="1" fillId="41" borderId="12" xfId="47" applyBorder="1" applyAlignment="1" applyProtection="1">
      <alignment horizontal="center" vertical="center"/>
      <protection locked="0"/>
    </xf>
    <xf numFmtId="0" fontId="22" fillId="39" borderId="12" xfId="40" applyFont="1" applyBorder="1" applyAlignment="1">
      <alignment horizontal="center" vertical="center" wrapText="1"/>
    </xf>
    <xf numFmtId="11" fontId="0" fillId="41" borderId="12" xfId="47" applyNumberFormat="1" applyFont="1" applyBorder="1" applyAlignment="1" applyProtection="1">
      <alignment horizontal="center" vertical="center"/>
      <protection locked="0"/>
    </xf>
    <xf numFmtId="11" fontId="1" fillId="41" borderId="12" xfId="47" applyNumberFormat="1" applyBorder="1" applyAlignment="1" applyProtection="1">
      <alignment horizontal="center" vertical="center"/>
      <protection locked="0"/>
    </xf>
    <xf numFmtId="0" fontId="0" fillId="41" borderId="12" xfId="47" applyFont="1" applyBorder="1" applyAlignment="1" applyProtection="1">
      <alignment horizontal="center" vertical="center"/>
      <protection locked="0"/>
    </xf>
    <xf numFmtId="0" fontId="0" fillId="48" borderId="12" xfId="42" applyFont="1" applyFill="1" applyBorder="1" applyAlignment="1">
      <alignment horizontal="center" vertical="center"/>
    </xf>
    <xf numFmtId="0" fontId="1" fillId="48" borderId="12" xfId="42" applyFont="1" applyFill="1" applyBorder="1" applyAlignment="1">
      <alignment horizontal="center" vertical="center"/>
    </xf>
    <xf numFmtId="0" fontId="1" fillId="48" borderId="13" xfId="42" applyFont="1" applyFill="1" applyBorder="1" applyAlignment="1">
      <alignment horizontal="center" vertical="center"/>
    </xf>
    <xf numFmtId="0" fontId="1" fillId="48" borderId="15" xfId="42" applyFont="1" applyFill="1" applyBorder="1" applyAlignment="1">
      <alignment horizontal="center" vertical="center"/>
    </xf>
    <xf numFmtId="0" fontId="22" fillId="39" borderId="15" xfId="40" applyFont="1" applyBorder="1" applyAlignment="1">
      <alignment horizontal="left" vertical="center" wrapText="1" indent="1"/>
    </xf>
    <xf numFmtId="0" fontId="43" fillId="2" borderId="12" xfId="40" applyFont="1" applyFill="1" applyBorder="1" applyAlignment="1">
      <alignment horizontal="center" vertical="center" wrapText="1"/>
    </xf>
    <xf numFmtId="0" fontId="22" fillId="39" borderId="13" xfId="40" applyFont="1" applyBorder="1" applyAlignment="1">
      <alignment horizontal="center" vertical="center"/>
    </xf>
    <xf numFmtId="0" fontId="22" fillId="39" borderId="14" xfId="40" applyFont="1" applyBorder="1" applyAlignment="1">
      <alignment horizontal="center" vertical="center"/>
    </xf>
    <xf numFmtId="0" fontId="22" fillId="39" borderId="15" xfId="40" applyFont="1" applyBorder="1" applyAlignment="1">
      <alignment horizontal="center" vertical="center"/>
    </xf>
    <xf numFmtId="0" fontId="17" fillId="40" borderId="12" xfId="43" applyFont="1" applyBorder="1" applyAlignment="1">
      <alignment horizontal="center"/>
    </xf>
    <xf numFmtId="0" fontId="1" fillId="40" borderId="12" xfId="43" applyBorder="1" applyAlignment="1">
      <alignment horizontal="center" vertical="center" wrapText="1"/>
    </xf>
    <xf numFmtId="0" fontId="1" fillId="35" borderId="12" xfId="42" applyBorder="1" applyAlignment="1">
      <alignment horizontal="center" vertical="center"/>
    </xf>
    <xf numFmtId="11" fontId="1" fillId="35" borderId="12" xfId="42" applyNumberFormat="1" applyBorder="1" applyAlignment="1">
      <alignment horizontal="center" vertical="center"/>
    </xf>
    <xf numFmtId="0" fontId="0" fillId="40" borderId="12" xfId="43" applyFont="1" applyBorder="1" applyAlignment="1">
      <alignment horizontal="center" vertical="center" wrapText="1"/>
    </xf>
    <xf numFmtId="0" fontId="22" fillId="39" borderId="12" xfId="40" applyFont="1" applyBorder="1" applyAlignment="1">
      <alignment horizontal="left" vertical="center" wrapText="1" indent="1"/>
    </xf>
    <xf numFmtId="0" fontId="16" fillId="40" borderId="12" xfId="43" applyFont="1" applyBorder="1" applyAlignment="1">
      <alignment horizontal="center" vertical="center" wrapText="1"/>
    </xf>
    <xf numFmtId="0" fontId="1" fillId="40" borderId="12" xfId="43" applyBorder="1" applyAlignment="1">
      <alignment horizontal="center"/>
    </xf>
    <xf numFmtId="2" fontId="19" fillId="35" borderId="12" xfId="42" applyNumberFormat="1" applyFont="1" applyBorder="1" applyAlignment="1">
      <alignment horizontal="center" vertical="center"/>
    </xf>
    <xf numFmtId="11" fontId="1" fillId="35" borderId="13" xfId="42" applyNumberFormat="1" applyBorder="1" applyAlignment="1">
      <alignment horizontal="center" vertical="center"/>
    </xf>
    <xf numFmtId="11" fontId="1" fillId="35" borderId="14" xfId="42" applyNumberFormat="1" applyBorder="1" applyAlignment="1">
      <alignment horizontal="center" vertical="center"/>
    </xf>
    <xf numFmtId="0" fontId="19" fillId="35" borderId="12" xfId="42" applyFont="1" applyBorder="1" applyAlignment="1">
      <alignment horizontal="center" vertical="center"/>
    </xf>
    <xf numFmtId="2" fontId="1" fillId="35" borderId="12" xfId="42" applyNumberFormat="1" applyBorder="1" applyAlignment="1">
      <alignment horizontal="center" vertical="center"/>
    </xf>
    <xf numFmtId="0" fontId="1" fillId="35" borderId="13" xfId="42" applyBorder="1" applyAlignment="1">
      <alignment horizontal="center" vertical="center"/>
    </xf>
    <xf numFmtId="0" fontId="1" fillId="35" borderId="15" xfId="42" applyBorder="1" applyAlignment="1">
      <alignment horizontal="center" vertical="center"/>
    </xf>
    <xf numFmtId="0" fontId="16" fillId="35" borderId="12" xfId="42" applyFont="1" applyBorder="1" applyAlignment="1">
      <alignment horizontal="center" vertical="center"/>
    </xf>
    <xf numFmtId="0" fontId="0" fillId="35" borderId="12" xfId="42" applyFont="1" applyBorder="1" applyAlignment="1">
      <alignment horizontal="left" vertical="center" indent="1"/>
    </xf>
    <xf numFmtId="0" fontId="1" fillId="35" borderId="12" xfId="42" applyBorder="1" applyAlignment="1">
      <alignment horizontal="left" vertical="center" indent="1"/>
    </xf>
    <xf numFmtId="0" fontId="0" fillId="35" borderId="12" xfId="42" applyFont="1" applyBorder="1" applyAlignment="1">
      <alignment horizontal="left" vertical="center"/>
    </xf>
    <xf numFmtId="0" fontId="1" fillId="35" borderId="12" xfId="42" applyBorder="1" applyAlignment="1">
      <alignment horizontal="left" vertical="center"/>
    </xf>
    <xf numFmtId="0" fontId="16" fillId="35" borderId="12" xfId="42" applyFont="1" applyBorder="1" applyAlignment="1">
      <alignment horizontal="left" vertical="center" indent="1"/>
    </xf>
    <xf numFmtId="0" fontId="21" fillId="40" borderId="12" xfId="43" applyFont="1" applyBorder="1" applyAlignment="1">
      <alignment horizontal="center" vertical="center"/>
    </xf>
    <xf numFmtId="11" fontId="0" fillId="35" borderId="12" xfId="42" applyNumberFormat="1" applyFont="1" applyBorder="1" applyAlignment="1">
      <alignment horizontal="center" vertical="center"/>
    </xf>
    <xf numFmtId="0" fontId="1" fillId="38" borderId="13" xfId="46" applyBorder="1" applyAlignment="1">
      <alignment horizontal="center" vertical="center"/>
    </xf>
    <xf numFmtId="0" fontId="1" fillId="38" borderId="14" xfId="46" applyBorder="1" applyAlignment="1">
      <alignment horizontal="center" vertical="center"/>
    </xf>
    <xf numFmtId="0" fontId="1" fillId="38" borderId="15" xfId="46" applyBorder="1" applyAlignment="1">
      <alignment horizontal="center" vertical="center"/>
    </xf>
    <xf numFmtId="0" fontId="1" fillId="33" borderId="13" xfId="39" applyBorder="1" applyAlignment="1">
      <alignment horizontal="center" vertical="center"/>
    </xf>
    <xf numFmtId="0" fontId="1" fillId="33" borderId="14" xfId="39" applyBorder="1" applyAlignment="1">
      <alignment horizontal="center" vertical="center"/>
    </xf>
    <xf numFmtId="0" fontId="1" fillId="33" borderId="15" xfId="39" applyBorder="1" applyAlignment="1">
      <alignment horizontal="center" vertical="center"/>
    </xf>
    <xf numFmtId="0" fontId="4" fillId="21" borderId="13" xfId="3" applyBorder="1" applyAlignment="1">
      <alignment horizontal="center" vertical="center"/>
    </xf>
    <xf numFmtId="0" fontId="4" fillId="21" borderId="14" xfId="3" applyBorder="1" applyAlignment="1">
      <alignment horizontal="center" vertical="center"/>
    </xf>
    <xf numFmtId="0" fontId="4" fillId="21" borderId="15" xfId="3" applyBorder="1" applyAlignment="1">
      <alignment horizontal="center" vertical="center"/>
    </xf>
    <xf numFmtId="0" fontId="1" fillId="29" borderId="13" xfId="35" applyBorder="1" applyAlignment="1">
      <alignment horizontal="center" vertical="center"/>
    </xf>
    <xf numFmtId="0" fontId="1" fillId="29" borderId="14" xfId="35" applyBorder="1" applyAlignment="1">
      <alignment horizontal="center" vertical="center"/>
    </xf>
    <xf numFmtId="0" fontId="1" fillId="29" borderId="15" xfId="35" applyBorder="1" applyAlignment="1">
      <alignment horizontal="center" vertical="center"/>
    </xf>
    <xf numFmtId="0" fontId="22" fillId="39" borderId="12" xfId="40" applyFont="1" applyBorder="1" applyAlignment="1">
      <alignment horizontal="center" vertical="center"/>
    </xf>
    <xf numFmtId="0" fontId="42" fillId="39" borderId="12" xfId="40" applyFont="1" applyBorder="1" applyAlignment="1">
      <alignment horizontal="center" vertical="center"/>
    </xf>
    <xf numFmtId="0" fontId="9" fillId="39" borderId="12" xfId="40" applyBorder="1" applyAlignment="1">
      <alignment horizontal="center" vertical="center"/>
    </xf>
    <xf numFmtId="11" fontId="9" fillId="39" borderId="12" xfId="40" applyNumberFormat="1" applyFont="1" applyBorder="1" applyAlignment="1">
      <alignment horizontal="center" vertical="center"/>
    </xf>
    <xf numFmtId="11" fontId="1" fillId="37" borderId="12" xfId="45" applyNumberFormat="1" applyFont="1" applyBorder="1" applyAlignment="1">
      <alignment horizontal="center" vertical="center"/>
    </xf>
    <xf numFmtId="11" fontId="1" fillId="32" borderId="12" xfId="38" applyNumberFormat="1" applyFont="1" applyBorder="1" applyAlignment="1">
      <alignment horizontal="center" vertical="center"/>
    </xf>
    <xf numFmtId="11" fontId="1" fillId="20" borderId="12" xfId="2" applyNumberFormat="1" applyFont="1" applyBorder="1" applyAlignment="1">
      <alignment horizontal="center" vertical="center"/>
    </xf>
    <xf numFmtId="11" fontId="1" fillId="28" borderId="12" xfId="34" applyNumberFormat="1" applyFont="1" applyBorder="1" applyAlignment="1">
      <alignment horizontal="center" vertical="center"/>
    </xf>
    <xf numFmtId="0" fontId="0" fillId="37" borderId="12" xfId="45" applyFont="1" applyBorder="1" applyAlignment="1">
      <alignment horizontal="center" vertical="center"/>
    </xf>
    <xf numFmtId="0" fontId="1" fillId="37" borderId="12" xfId="45" applyBorder="1" applyAlignment="1">
      <alignment horizontal="center" vertical="center"/>
    </xf>
    <xf numFmtId="0" fontId="0" fillId="32" borderId="12" xfId="38" applyFont="1" applyBorder="1" applyAlignment="1">
      <alignment horizontal="center" vertical="center"/>
    </xf>
    <xf numFmtId="0" fontId="1" fillId="32" borderId="12" xfId="38" applyBorder="1" applyAlignment="1">
      <alignment horizontal="center" vertical="center"/>
    </xf>
    <xf numFmtId="0" fontId="0" fillId="20" borderId="12" xfId="2" applyFont="1" applyBorder="1" applyAlignment="1">
      <alignment horizontal="center" vertical="center"/>
    </xf>
    <xf numFmtId="0" fontId="4" fillId="20" borderId="12" xfId="2" applyBorder="1" applyAlignment="1">
      <alignment horizontal="center" vertical="center"/>
    </xf>
    <xf numFmtId="0" fontId="0" fillId="28" borderId="12" xfId="34" applyFont="1" applyBorder="1" applyAlignment="1">
      <alignment horizontal="center" vertical="center"/>
    </xf>
    <xf numFmtId="0" fontId="1" fillId="28" borderId="12" xfId="34" applyBorder="1" applyAlignment="1">
      <alignment horizontal="center" vertical="center"/>
    </xf>
    <xf numFmtId="0" fontId="32" fillId="36" borderId="12" xfId="44" applyFont="1" applyBorder="1" applyAlignment="1">
      <alignment horizontal="center" vertical="center"/>
    </xf>
    <xf numFmtId="0" fontId="32" fillId="19" borderId="12" xfId="1" applyFont="1" applyBorder="1" applyAlignment="1">
      <alignment horizontal="center" vertical="center"/>
    </xf>
    <xf numFmtId="0" fontId="32" fillId="31" borderId="12" xfId="37" applyFont="1" applyBorder="1" applyAlignment="1">
      <alignment horizontal="center" vertical="center"/>
    </xf>
    <xf numFmtId="0" fontId="32" fillId="27" borderId="12" xfId="33" applyFont="1" applyBorder="1" applyAlignment="1">
      <alignment horizontal="center" vertical="center"/>
    </xf>
    <xf numFmtId="0" fontId="43" fillId="2" borderId="15" xfId="40" applyFont="1" applyFill="1" applyBorder="1" applyAlignment="1">
      <alignment horizontal="center" vertical="center" wrapText="1"/>
    </xf>
    <xf numFmtId="11" fontId="16" fillId="46" borderId="12" xfId="40" applyNumberFormat="1" applyFont="1" applyFill="1" applyBorder="1" applyAlignment="1">
      <alignment horizontal="center" vertical="center" wrapText="1"/>
    </xf>
    <xf numFmtId="0" fontId="28" fillId="40" borderId="13" xfId="43" applyFont="1" applyBorder="1" applyAlignment="1">
      <alignment horizontal="center" vertical="center"/>
    </xf>
    <xf numFmtId="0" fontId="28" fillId="40" borderId="14" xfId="43" applyFont="1" applyBorder="1" applyAlignment="1">
      <alignment horizontal="center" vertical="center"/>
    </xf>
    <xf numFmtId="0" fontId="28" fillId="40" borderId="15" xfId="43" applyFont="1" applyBorder="1" applyAlignment="1">
      <alignment horizontal="center" vertical="center"/>
    </xf>
    <xf numFmtId="0" fontId="28" fillId="35" borderId="13" xfId="42" applyFont="1" applyBorder="1" applyAlignment="1">
      <alignment horizontal="center" vertical="center"/>
    </xf>
    <xf numFmtId="0" fontId="28" fillId="35" borderId="15" xfId="42" applyFont="1" applyBorder="1" applyAlignment="1">
      <alignment horizontal="center" vertical="center"/>
    </xf>
    <xf numFmtId="0" fontId="30" fillId="35" borderId="13" xfId="42" applyFont="1" applyBorder="1" applyAlignment="1">
      <alignment horizontal="center" vertical="center"/>
    </xf>
    <xf numFmtId="0" fontId="30" fillId="35" borderId="15" xfId="42" applyFont="1" applyBorder="1" applyAlignment="1">
      <alignment horizontal="center" vertical="center"/>
    </xf>
    <xf numFmtId="0" fontId="1" fillId="40" borderId="13" xfId="43" applyFont="1" applyBorder="1" applyAlignment="1">
      <alignment horizontal="center" vertical="center"/>
    </xf>
    <xf numFmtId="0" fontId="1" fillId="40" borderId="14" xfId="43" applyFont="1" applyBorder="1" applyAlignment="1">
      <alignment horizontal="center" vertical="center"/>
    </xf>
    <xf numFmtId="0" fontId="1" fillId="40" borderId="15" xfId="43" applyFont="1" applyBorder="1" applyAlignment="1">
      <alignment horizontal="center" vertical="center"/>
    </xf>
    <xf numFmtId="11" fontId="28" fillId="35" borderId="13" xfId="42" applyNumberFormat="1" applyFont="1" applyBorder="1" applyAlignment="1">
      <alignment horizontal="center" vertical="center"/>
    </xf>
    <xf numFmtId="11" fontId="28" fillId="35" borderId="15" xfId="42" applyNumberFormat="1" applyFont="1" applyBorder="1" applyAlignment="1">
      <alignment horizontal="center" vertical="center"/>
    </xf>
    <xf numFmtId="11" fontId="1" fillId="35" borderId="13" xfId="42" applyNumberFormat="1" applyFont="1" applyBorder="1" applyAlignment="1">
      <alignment horizontal="center" vertical="center"/>
    </xf>
    <xf numFmtId="11" fontId="1" fillId="35" borderId="15" xfId="42" applyNumberFormat="1" applyFont="1" applyBorder="1" applyAlignment="1">
      <alignment horizontal="center" vertical="center"/>
    </xf>
    <xf numFmtId="2" fontId="28" fillId="35" borderId="13" xfId="42" applyNumberFormat="1" applyFont="1" applyBorder="1" applyAlignment="1">
      <alignment horizontal="center" vertical="center"/>
    </xf>
    <xf numFmtId="2" fontId="28" fillId="35" borderId="15" xfId="42" applyNumberFormat="1" applyFont="1" applyBorder="1" applyAlignment="1">
      <alignment horizontal="center" vertical="center"/>
    </xf>
    <xf numFmtId="2" fontId="16" fillId="35" borderId="13" xfId="42" applyNumberFormat="1" applyFont="1" applyBorder="1" applyAlignment="1">
      <alignment horizontal="center" vertical="center"/>
    </xf>
    <xf numFmtId="2" fontId="16" fillId="35" borderId="15" xfId="42" applyNumberFormat="1" applyFont="1" applyBorder="1" applyAlignment="1">
      <alignment horizontal="center" vertical="center"/>
    </xf>
    <xf numFmtId="183" fontId="28" fillId="35" borderId="13" xfId="42" applyNumberFormat="1" applyFont="1" applyBorder="1" applyAlignment="1">
      <alignment horizontal="center" vertical="center"/>
    </xf>
    <xf numFmtId="183" fontId="28" fillId="35" borderId="15" xfId="42" applyNumberFormat="1" applyFont="1" applyBorder="1" applyAlignment="1">
      <alignment horizontal="center" vertical="center"/>
    </xf>
    <xf numFmtId="9" fontId="1" fillId="35" borderId="13" xfId="42" applyNumberFormat="1" applyFont="1" applyBorder="1" applyAlignment="1">
      <alignment horizontal="center" vertical="center"/>
    </xf>
    <xf numFmtId="9" fontId="1" fillId="35" borderId="15" xfId="42" applyNumberFormat="1" applyFont="1" applyBorder="1" applyAlignment="1">
      <alignment horizontal="center" vertical="center"/>
    </xf>
    <xf numFmtId="0" fontId="0" fillId="40" borderId="13" xfId="43" applyFont="1" applyBorder="1" applyAlignment="1">
      <alignment horizontal="center" vertical="center"/>
    </xf>
    <xf numFmtId="0" fontId="16" fillId="35" borderId="13" xfId="42" applyFont="1" applyBorder="1" applyAlignment="1">
      <alignment horizontal="center" vertical="center"/>
    </xf>
    <xf numFmtId="0" fontId="16" fillId="35" borderId="15" xfId="42" applyFont="1" applyBorder="1" applyAlignment="1">
      <alignment horizontal="center" vertical="center"/>
    </xf>
    <xf numFmtId="2" fontId="1" fillId="35" borderId="13" xfId="42" applyNumberFormat="1" applyFont="1" applyBorder="1" applyAlignment="1">
      <alignment horizontal="center" vertical="center"/>
    </xf>
    <xf numFmtId="183" fontId="16" fillId="46" borderId="12" xfId="40" applyNumberFormat="1" applyFont="1" applyFill="1" applyBorder="1" applyAlignment="1">
      <alignment horizontal="center" vertical="center" wrapText="1"/>
    </xf>
    <xf numFmtId="0" fontId="3" fillId="35" borderId="13" xfId="42" applyFont="1" applyBorder="1" applyAlignment="1">
      <alignment horizontal="center" vertical="center"/>
    </xf>
    <xf numFmtId="0" fontId="3" fillId="35" borderId="15" xfId="42" applyFont="1" applyBorder="1" applyAlignment="1">
      <alignment horizontal="center" vertical="center"/>
    </xf>
    <xf numFmtId="0" fontId="41" fillId="40" borderId="13" xfId="43" applyFont="1" applyBorder="1" applyAlignment="1">
      <alignment horizontal="center" vertical="center"/>
    </xf>
    <xf numFmtId="0" fontId="41" fillId="40" borderId="14" xfId="43" applyFont="1" applyBorder="1" applyAlignment="1">
      <alignment horizontal="center" vertical="center"/>
    </xf>
    <xf numFmtId="0" fontId="41" fillId="40" borderId="15" xfId="43" applyFont="1" applyBorder="1" applyAlignment="1">
      <alignment horizontal="center" vertical="center"/>
    </xf>
    <xf numFmtId="0" fontId="16" fillId="40" borderId="13" xfId="43" applyFont="1" applyBorder="1" applyAlignment="1">
      <alignment horizontal="center" vertical="center"/>
    </xf>
    <xf numFmtId="0" fontId="16" fillId="40" borderId="14" xfId="43" applyFont="1" applyBorder="1" applyAlignment="1">
      <alignment horizontal="center" vertical="center"/>
    </xf>
    <xf numFmtId="0" fontId="16" fillId="40" borderId="15" xfId="43" applyFont="1" applyBorder="1" applyAlignment="1">
      <alignment horizontal="center" vertical="center"/>
    </xf>
    <xf numFmtId="11" fontId="16" fillId="35" borderId="13" xfId="42" applyNumberFormat="1" applyFont="1" applyBorder="1" applyAlignment="1">
      <alignment horizontal="center" vertical="center"/>
    </xf>
    <xf numFmtId="11" fontId="16" fillId="35" borderId="15" xfId="42" applyNumberFormat="1" applyFont="1" applyBorder="1" applyAlignment="1">
      <alignment horizontal="center" vertical="center"/>
    </xf>
    <xf numFmtId="0" fontId="0" fillId="40" borderId="16" xfId="43" applyFont="1" applyBorder="1" applyAlignment="1">
      <alignment horizontal="left" vertical="center" wrapText="1" indent="1"/>
    </xf>
    <xf numFmtId="0" fontId="0" fillId="40" borderId="18" xfId="43" applyFont="1" applyBorder="1" applyAlignment="1">
      <alignment horizontal="left" vertical="center" wrapText="1" indent="1"/>
    </xf>
    <xf numFmtId="0" fontId="0" fillId="40" borderId="22" xfId="43" applyFont="1" applyBorder="1" applyAlignment="1">
      <alignment horizontal="left" vertical="center" wrapText="1" indent="1"/>
    </xf>
    <xf numFmtId="0" fontId="0" fillId="40" borderId="23" xfId="43" applyFont="1" applyBorder="1" applyAlignment="1">
      <alignment horizontal="left" vertical="center" wrapText="1" indent="1"/>
    </xf>
    <xf numFmtId="0" fontId="0" fillId="40" borderId="19" xfId="43" applyFont="1" applyBorder="1" applyAlignment="1">
      <alignment horizontal="left" vertical="center" wrapText="1" indent="1"/>
    </xf>
    <xf numFmtId="0" fontId="0" fillId="40" borderId="21" xfId="43" applyFont="1" applyBorder="1" applyAlignment="1">
      <alignment horizontal="left" vertical="center" wrapText="1" indent="1"/>
    </xf>
    <xf numFmtId="0" fontId="1" fillId="40" borderId="13" xfId="43" applyBorder="1" applyAlignment="1">
      <alignment horizontal="left" vertical="center" indent="1"/>
    </xf>
    <xf numFmtId="0" fontId="1" fillId="40" borderId="14" xfId="43" applyBorder="1" applyAlignment="1">
      <alignment horizontal="left" vertical="center" indent="1"/>
    </xf>
    <xf numFmtId="0" fontId="1" fillId="40" borderId="15" xfId="43" applyBorder="1" applyAlignment="1">
      <alignment horizontal="left" vertical="center" indent="1"/>
    </xf>
    <xf numFmtId="0" fontId="9" fillId="39" borderId="12" xfId="40" applyFont="1" applyBorder="1" applyAlignment="1">
      <alignment horizontal="left" vertical="center" indent="1"/>
    </xf>
    <xf numFmtId="0" fontId="1" fillId="35" borderId="13" xfId="42" applyBorder="1" applyAlignment="1">
      <alignment vertical="center"/>
    </xf>
    <xf numFmtId="0" fontId="1" fillId="35" borderId="14" xfId="42" applyBorder="1" applyAlignment="1">
      <alignment vertical="center"/>
    </xf>
    <xf numFmtId="0" fontId="1" fillId="35" borderId="15" xfId="42" applyBorder="1" applyAlignment="1">
      <alignment vertical="center"/>
    </xf>
    <xf numFmtId="0" fontId="0" fillId="40" borderId="16" xfId="43" applyFont="1" applyBorder="1" applyAlignment="1">
      <alignment horizontal="left" vertical="center" indent="1"/>
    </xf>
    <xf numFmtId="0" fontId="0" fillId="40" borderId="18" xfId="43" applyFont="1" applyBorder="1" applyAlignment="1">
      <alignment horizontal="left" vertical="center" indent="1"/>
    </xf>
    <xf numFmtId="0" fontId="0" fillId="40" borderId="22" xfId="43" applyFont="1" applyBorder="1" applyAlignment="1">
      <alignment horizontal="left" vertical="center" indent="1"/>
    </xf>
    <xf numFmtId="0" fontId="0" fillId="40" borderId="23" xfId="43" applyFont="1" applyBorder="1" applyAlignment="1">
      <alignment horizontal="left" vertical="center" indent="1"/>
    </xf>
    <xf numFmtId="0" fontId="0" fillId="40" borderId="19" xfId="43" applyFont="1" applyBorder="1" applyAlignment="1">
      <alignment horizontal="left" vertical="center" indent="1"/>
    </xf>
    <xf numFmtId="0" fontId="0" fillId="40" borderId="21" xfId="43" applyFont="1" applyBorder="1" applyAlignment="1">
      <alignment horizontal="left" vertical="center" indent="1"/>
    </xf>
    <xf numFmtId="0" fontId="2" fillId="19" borderId="12" xfId="1" applyFont="1" applyBorder="1" applyAlignment="1">
      <alignment horizontal="left" vertical="center" wrapText="1"/>
    </xf>
    <xf numFmtId="0" fontId="1" fillId="30" borderId="13" xfId="36" applyBorder="1" applyAlignment="1">
      <alignment vertical="center"/>
    </xf>
    <xf numFmtId="0" fontId="1" fillId="30" borderId="14" xfId="36" applyBorder="1" applyAlignment="1">
      <alignment vertical="center"/>
    </xf>
    <xf numFmtId="0" fontId="1" fillId="30" borderId="15" xfId="36" applyBorder="1" applyAlignment="1">
      <alignment vertical="center"/>
    </xf>
    <xf numFmtId="0" fontId="1" fillId="30" borderId="12" xfId="36" quotePrefix="1" applyBorder="1" applyAlignment="1">
      <alignment vertical="center"/>
    </xf>
    <xf numFmtId="0" fontId="0" fillId="20" borderId="13" xfId="2" applyFont="1" applyBorder="1" applyAlignment="1">
      <alignment vertical="center"/>
    </xf>
    <xf numFmtId="0" fontId="0" fillId="20" borderId="14" xfId="2" applyFont="1" applyBorder="1" applyAlignment="1">
      <alignment vertical="center"/>
    </xf>
    <xf numFmtId="0" fontId="0" fillId="20" borderId="15" xfId="2" applyFont="1" applyBorder="1" applyAlignment="1">
      <alignment vertical="center"/>
    </xf>
    <xf numFmtId="0" fontId="4" fillId="20" borderId="13" xfId="2" applyBorder="1" applyAlignment="1">
      <alignment vertical="center"/>
    </xf>
    <xf numFmtId="0" fontId="4" fillId="20" borderId="14" xfId="2" applyBorder="1" applyAlignment="1">
      <alignment vertical="center"/>
    </xf>
    <xf numFmtId="0" fontId="4" fillId="20" borderId="15" xfId="2" applyBorder="1" applyAlignment="1">
      <alignment vertical="center"/>
    </xf>
    <xf numFmtId="182" fontId="1" fillId="30" borderId="12" xfId="36" applyNumberFormat="1" applyBorder="1" applyAlignment="1">
      <alignment horizontal="left" vertical="center"/>
    </xf>
    <xf numFmtId="0" fontId="0" fillId="30" borderId="12" xfId="36" applyFont="1" applyBorder="1" applyAlignment="1">
      <alignment horizontal="left" vertical="center"/>
    </xf>
    <xf numFmtId="0" fontId="1" fillId="30" borderId="12" xfId="36" applyBorder="1" applyAlignment="1">
      <alignment horizontal="left" vertical="center"/>
    </xf>
    <xf numFmtId="0" fontId="1" fillId="30" borderId="13" xfId="36" quotePrefix="1" applyBorder="1" applyAlignment="1">
      <alignment horizontal="left" vertical="center"/>
    </xf>
    <xf numFmtId="0" fontId="1" fillId="30" borderId="14" xfId="36" quotePrefix="1" applyBorder="1" applyAlignment="1">
      <alignment horizontal="left" vertical="center"/>
    </xf>
    <xf numFmtId="0" fontId="1" fillId="30" borderId="15" xfId="36" quotePrefix="1" applyBorder="1" applyAlignment="1">
      <alignment horizontal="left" vertical="center"/>
    </xf>
    <xf numFmtId="0" fontId="0" fillId="30" borderId="13" xfId="36" quotePrefix="1" applyFont="1" applyBorder="1" applyAlignment="1">
      <alignment horizontal="left" vertical="center"/>
    </xf>
    <xf numFmtId="0" fontId="0" fillId="30" borderId="14" xfId="36" quotePrefix="1" applyFont="1" applyBorder="1" applyAlignment="1">
      <alignment horizontal="left" vertical="center"/>
    </xf>
    <xf numFmtId="0" fontId="0" fillId="30" borderId="15" xfId="36" quotePrefix="1" applyFont="1" applyBorder="1" applyAlignment="1">
      <alignment horizontal="left" vertical="center"/>
    </xf>
    <xf numFmtId="0" fontId="0" fillId="20" borderId="12" xfId="2" applyFont="1" applyBorder="1" applyAlignment="1">
      <alignment horizontal="left" vertical="center"/>
    </xf>
    <xf numFmtId="0" fontId="4" fillId="20" borderId="12" xfId="2" applyBorder="1" applyAlignment="1">
      <alignment horizontal="left" vertical="center"/>
    </xf>
    <xf numFmtId="0" fontId="2" fillId="19" borderId="12" xfId="1" applyFont="1" applyBorder="1" applyAlignment="1">
      <alignment horizontal="center" vertical="center"/>
    </xf>
    <xf numFmtId="0" fontId="2" fillId="19" borderId="12" xfId="1" applyFont="1" applyBorder="1" applyAlignment="1">
      <alignment horizontal="left" vertical="center"/>
    </xf>
    <xf numFmtId="0" fontId="2" fillId="19" borderId="12" xfId="1" applyFont="1" applyBorder="1" applyAlignment="1">
      <alignment vertical="center" wrapText="1"/>
    </xf>
    <xf numFmtId="14" fontId="1" fillId="30" borderId="13" xfId="36" applyNumberFormat="1" applyBorder="1" applyAlignment="1">
      <alignment horizontal="center" vertical="center"/>
    </xf>
    <xf numFmtId="14" fontId="1" fillId="30" borderId="15" xfId="36" applyNumberFormat="1" applyBorder="1" applyAlignment="1">
      <alignment horizontal="center" vertical="center"/>
    </xf>
    <xf numFmtId="0" fontId="0" fillId="30" borderId="16" xfId="36" quotePrefix="1" applyFont="1" applyBorder="1" applyAlignment="1">
      <alignment horizontal="left" vertical="center"/>
    </xf>
    <xf numFmtId="0" fontId="0" fillId="30" borderId="17" xfId="36" quotePrefix="1" applyFont="1" applyBorder="1" applyAlignment="1">
      <alignment horizontal="left" vertical="center"/>
    </xf>
    <xf numFmtId="0" fontId="0" fillId="30" borderId="18" xfId="36" quotePrefix="1" applyFont="1" applyBorder="1" applyAlignment="1">
      <alignment horizontal="left" vertical="center"/>
    </xf>
    <xf numFmtId="0" fontId="0" fillId="30" borderId="22" xfId="36" quotePrefix="1" applyFont="1" applyBorder="1" applyAlignment="1">
      <alignment horizontal="left" vertical="center"/>
    </xf>
    <xf numFmtId="0" fontId="0" fillId="30" borderId="0" xfId="36" quotePrefix="1" applyFont="1" applyBorder="1" applyAlignment="1">
      <alignment horizontal="left" vertical="center"/>
    </xf>
    <xf numFmtId="0" fontId="0" fillId="30" borderId="23" xfId="36" quotePrefix="1" applyFont="1" applyBorder="1" applyAlignment="1">
      <alignment horizontal="left" vertical="center"/>
    </xf>
    <xf numFmtId="0" fontId="0" fillId="30" borderId="19" xfId="36" quotePrefix="1" applyFont="1" applyBorder="1" applyAlignment="1">
      <alignment horizontal="left" vertical="center"/>
    </xf>
    <xf numFmtId="0" fontId="0" fillId="30" borderId="20" xfId="36" quotePrefix="1" applyFont="1" applyBorder="1" applyAlignment="1">
      <alignment horizontal="left" vertical="center"/>
    </xf>
    <xf numFmtId="0" fontId="0" fillId="30" borderId="21" xfId="36" quotePrefix="1" applyFont="1" applyBorder="1" applyAlignment="1">
      <alignment horizontal="left" vertical="center"/>
    </xf>
    <xf numFmtId="0" fontId="2" fillId="19" borderId="12" xfId="1" applyFont="1" applyBorder="1" applyAlignment="1">
      <alignment horizontal="center" vertical="center" wrapText="1"/>
    </xf>
    <xf numFmtId="0" fontId="0" fillId="30" borderId="12" xfId="36" quotePrefix="1" applyFont="1" applyBorder="1" applyAlignment="1">
      <alignment vertical="center"/>
    </xf>
    <xf numFmtId="0" fontId="0" fillId="16" borderId="2" xfId="0" applyFont="1" applyFill="1" applyBorder="1" applyAlignment="1" applyProtection="1">
      <alignment vertical="center"/>
      <protection locked="0"/>
    </xf>
    <xf numFmtId="0" fontId="0" fillId="16" borderId="4" xfId="0" applyFont="1" applyFill="1" applyBorder="1" applyAlignment="1" applyProtection="1">
      <alignment vertical="center"/>
      <protection locked="0"/>
    </xf>
    <xf numFmtId="0" fontId="0" fillId="16" borderId="3" xfId="0" applyFont="1" applyFill="1" applyBorder="1" applyAlignment="1" applyProtection="1">
      <alignment vertical="center"/>
      <protection locked="0"/>
    </xf>
    <xf numFmtId="0" fontId="6" fillId="7" borderId="2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0" fillId="3" borderId="2" xfId="0" applyFont="1" applyFill="1" applyBorder="1" applyAlignment="1" applyProtection="1">
      <alignment vertical="center"/>
      <protection locked="0"/>
    </xf>
    <xf numFmtId="0" fontId="0" fillId="3" borderId="4" xfId="0" applyFont="1" applyFill="1" applyBorder="1" applyAlignment="1" applyProtection="1">
      <alignment vertical="center"/>
      <protection locked="0"/>
    </xf>
    <xf numFmtId="0" fontId="0" fillId="3" borderId="3" xfId="0" applyFont="1" applyFill="1" applyBorder="1" applyAlignment="1" applyProtection="1">
      <alignment vertical="center"/>
      <protection locked="0"/>
    </xf>
    <xf numFmtId="0" fontId="6" fillId="7" borderId="5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left" vertical="center"/>
    </xf>
    <xf numFmtId="0" fontId="6" fillId="7" borderId="4" xfId="0" applyFont="1" applyFill="1" applyBorder="1" applyAlignment="1">
      <alignment horizontal="left" vertical="center"/>
    </xf>
    <xf numFmtId="0" fontId="6" fillId="7" borderId="3" xfId="0" applyFont="1" applyFill="1" applyBorder="1" applyAlignment="1">
      <alignment horizontal="left" vertical="center"/>
    </xf>
    <xf numFmtId="0" fontId="6" fillId="7" borderId="3" xfId="0" applyFont="1" applyFill="1" applyBorder="1" applyAlignment="1">
      <alignment horizontal="center" vertical="center"/>
    </xf>
    <xf numFmtId="0" fontId="1" fillId="40" borderId="12" xfId="43" applyBorder="1" applyAlignment="1">
      <alignment vertical="center"/>
    </xf>
    <xf numFmtId="0" fontId="0" fillId="40" borderId="12" xfId="43" applyFont="1" applyBorder="1" applyAlignment="1">
      <alignment vertical="center"/>
    </xf>
    <xf numFmtId="0" fontId="1" fillId="40" borderId="13" xfId="43" applyBorder="1" applyAlignment="1">
      <alignment horizontal="left" vertical="center"/>
    </xf>
    <xf numFmtId="0" fontId="1" fillId="40" borderId="14" xfId="43" applyBorder="1" applyAlignment="1">
      <alignment horizontal="left" vertical="center"/>
    </xf>
    <xf numFmtId="0" fontId="1" fillId="40" borderId="15" xfId="43" applyBorder="1" applyAlignment="1">
      <alignment horizontal="left" vertical="center"/>
    </xf>
    <xf numFmtId="0" fontId="27" fillId="3" borderId="0" xfId="0" applyFont="1" applyFill="1" applyAlignment="1">
      <alignment horizontal="left"/>
    </xf>
    <xf numFmtId="0" fontId="26" fillId="3" borderId="0" xfId="0" applyFont="1" applyFill="1" applyBorder="1" applyAlignment="1">
      <alignment horizontal="left"/>
    </xf>
    <xf numFmtId="0" fontId="26" fillId="3" borderId="25" xfId="0" applyFont="1" applyFill="1" applyBorder="1" applyAlignment="1">
      <alignment horizontal="left"/>
    </xf>
    <xf numFmtId="0" fontId="9" fillId="39" borderId="12" xfId="40" applyFont="1" applyBorder="1" applyAlignment="1">
      <alignment vertical="center"/>
    </xf>
    <xf numFmtId="0" fontId="1" fillId="35" borderId="12" xfId="42" applyBorder="1" applyAlignment="1">
      <alignment vertical="center"/>
    </xf>
    <xf numFmtId="0" fontId="1" fillId="40" borderId="13" xfId="43" applyBorder="1" applyAlignment="1">
      <alignment vertical="center"/>
    </xf>
    <xf numFmtId="0" fontId="1" fillId="40" borderId="14" xfId="43" applyBorder="1" applyAlignment="1">
      <alignment vertical="center"/>
    </xf>
    <xf numFmtId="0" fontId="1" fillId="40" borderId="15" xfId="43" applyBorder="1" applyAlignment="1">
      <alignment vertical="center"/>
    </xf>
  </cellXfs>
  <cellStyles count="52">
    <cellStyle name="20% - Accent1" xfId="47" builtinId="30"/>
    <cellStyle name="20% - Accent2" xfId="36" builtinId="34"/>
    <cellStyle name="20% - Accent5" xfId="41" builtinId="46"/>
    <cellStyle name="40% - Accent1" xfId="34" builtinId="31"/>
    <cellStyle name="40% - Accent2" xfId="2" builtinId="35"/>
    <cellStyle name="40% - Accent4" xfId="38" builtinId="43"/>
    <cellStyle name="40% - Accent5" xfId="42" builtinId="47"/>
    <cellStyle name="40% - Accent6" xfId="45" builtinId="51"/>
    <cellStyle name="40% - Énfasis2 2" xfId="48" xr:uid="{00000000-0005-0000-0000-000008000000}"/>
    <cellStyle name="60% - Accent1" xfId="35" builtinId="32"/>
    <cellStyle name="60% - Accent2" xfId="3" builtinId="36"/>
    <cellStyle name="60% - Accent3" xfId="4" builtinId="40"/>
    <cellStyle name="60% - Accent4" xfId="39" builtinId="44" customBuiltin="1"/>
    <cellStyle name="60% - Accent5" xfId="43" builtinId="48" customBuiltin="1"/>
    <cellStyle name="60% - Accent6" xfId="46" builtinId="52"/>
    <cellStyle name="60% - Énfasis2 2" xfId="49" xr:uid="{00000000-0005-0000-0000-00000F000000}"/>
    <cellStyle name="60% - Énfasis3 2" xfId="50" xr:uid="{00000000-0005-0000-0000-000010000000}"/>
    <cellStyle name="Accent1" xfId="33" builtinId="29"/>
    <cellStyle name="Accent2" xfId="1" builtinId="33"/>
    <cellStyle name="Accent4" xfId="37" builtinId="41"/>
    <cellStyle name="Accent5" xfId="40" builtinId="45" customBuiltin="1"/>
    <cellStyle name="Accent6" xfId="44" builtinId="49"/>
    <cellStyle name="axis" xfId="6" xr:uid="{00000000-0005-0000-0000-000016000000}"/>
    <cellStyle name="bar" xfId="7" xr:uid="{00000000-0005-0000-0000-000017000000}"/>
    <cellStyle name="Date" xfId="8" xr:uid="{00000000-0005-0000-0000-000018000000}"/>
    <cellStyle name="density" xfId="9" xr:uid="{00000000-0005-0000-0000-000019000000}"/>
    <cellStyle name="descriptor" xfId="10" xr:uid="{00000000-0005-0000-0000-00001A000000}"/>
    <cellStyle name="fieldname" xfId="11" xr:uid="{00000000-0005-0000-0000-00001B000000}"/>
    <cellStyle name="header" xfId="12" xr:uid="{00000000-0005-0000-0000-00001C000000}"/>
    <cellStyle name="Impulse" xfId="13" xr:uid="{00000000-0005-0000-0000-00001D000000}"/>
    <cellStyle name="inertia" xfId="14" xr:uid="{00000000-0005-0000-0000-00001E000000}"/>
    <cellStyle name="mass" xfId="15" xr:uid="{00000000-0005-0000-0000-00001F000000}"/>
    <cellStyle name="massflow" xfId="16" xr:uid="{00000000-0005-0000-0000-000020000000}"/>
    <cellStyle name="Milliers_data" xfId="17" xr:uid="{00000000-0005-0000-0000-000021000000}"/>
    <cellStyle name="mm" xfId="18" xr:uid="{00000000-0005-0000-0000-000022000000}"/>
    <cellStyle name="Momentum" xfId="19" xr:uid="{00000000-0005-0000-0000-000023000000}"/>
    <cellStyle name="Momentumimpulse" xfId="20" xr:uid="{00000000-0005-0000-0000-000024000000}"/>
    <cellStyle name="Monétaire_data" xfId="21" xr:uid="{00000000-0005-0000-0000-000025000000}"/>
    <cellStyle name="Newton" xfId="22" xr:uid="{00000000-0005-0000-0000-000026000000}"/>
    <cellStyle name="Normal" xfId="0" builtinId="0"/>
    <cellStyle name="Normal 2" xfId="5" xr:uid="{00000000-0005-0000-0000-000028000000}"/>
    <cellStyle name="pageheader" xfId="23" xr:uid="{00000000-0005-0000-0000-000029000000}"/>
    <cellStyle name="Pascal" xfId="24" xr:uid="{00000000-0005-0000-0000-00002A000000}"/>
    <cellStyle name="Percent" xfId="51" builtinId="5"/>
    <cellStyle name="physical" xfId="26" xr:uid="{00000000-0005-0000-0000-00002C000000}"/>
    <cellStyle name="Porcentaje 2" xfId="25" xr:uid="{00000000-0005-0000-0000-00002D000000}"/>
    <cellStyle name="second" xfId="27" xr:uid="{00000000-0005-0000-0000-00002E000000}"/>
    <cellStyle name="Standaard_ontwikkelzaglobaal" xfId="28" xr:uid="{00000000-0005-0000-0000-00002F000000}"/>
    <cellStyle name="temperatur" xfId="29" xr:uid="{00000000-0005-0000-0000-000030000000}"/>
    <cellStyle name="Text" xfId="30" xr:uid="{00000000-0005-0000-0000-000031000000}"/>
    <cellStyle name="unit" xfId="31" xr:uid="{00000000-0005-0000-0000-000032000000}"/>
    <cellStyle name="velocity" xfId="32" xr:uid="{00000000-0005-0000-0000-000033000000}"/>
  </cellStyles>
  <dxfs count="4"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00CC99"/>
      <color rgb="FFAF70D6"/>
      <color rgb="FFA162D0"/>
      <color rgb="FF9751CB"/>
      <color rgb="FF9642CA"/>
      <color rgb="FFFF6600"/>
      <color rgb="FFA6C9E8"/>
      <color rgb="FFFF3399"/>
      <color rgb="FF009999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5301D29A-698F-42AD-8857-B4E4F6F17574}" type="doc">
      <dgm:prSet loTypeId="urn:microsoft.com/office/officeart/2005/8/layout/chevron1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E261A3F6-3F4B-4508-A375-4D7C0AADE4F8}">
      <dgm:prSet phldrT="[Texto]"/>
      <dgm:spPr>
        <a:solidFill>
          <a:schemeClr val="accent1">
            <a:lumMod val="60000"/>
            <a:lumOff val="40000"/>
          </a:schemeClr>
        </a:solidFill>
      </dgm:spPr>
      <dgm:t>
        <a:bodyPr/>
        <a:lstStyle/>
        <a:p>
          <a:r>
            <a:rPr lang="es-ES"/>
            <a:t>Disturbances</a:t>
          </a:r>
        </a:p>
      </dgm:t>
    </dgm:pt>
    <dgm:pt modelId="{13C6704A-01E1-4EC9-94A0-E1363EBC293C}" type="parTrans" cxnId="{7CB40CA0-8951-44E0-8B4F-77C99F7A2E9D}">
      <dgm:prSet/>
      <dgm:spPr/>
      <dgm:t>
        <a:bodyPr/>
        <a:lstStyle/>
        <a:p>
          <a:endParaRPr lang="es-ES"/>
        </a:p>
      </dgm:t>
    </dgm:pt>
    <dgm:pt modelId="{B016A629-E7B2-40B6-A44F-012A7C26A7CC}" type="sibTrans" cxnId="{7CB40CA0-8951-44E0-8B4F-77C99F7A2E9D}">
      <dgm:prSet/>
      <dgm:spPr/>
      <dgm:t>
        <a:bodyPr/>
        <a:lstStyle/>
        <a:p>
          <a:endParaRPr lang="es-ES"/>
        </a:p>
      </dgm:t>
    </dgm:pt>
    <dgm:pt modelId="{BEED2B98-EC70-4A68-ABD8-E35306A41FAB}">
      <dgm:prSet phldrT="[Texto]"/>
      <dgm:spPr/>
      <dgm:t>
        <a:bodyPr/>
        <a:lstStyle/>
        <a:p>
          <a:r>
            <a:rPr lang="es-ES"/>
            <a:t>Gravity</a:t>
          </a:r>
        </a:p>
      </dgm:t>
    </dgm:pt>
    <dgm:pt modelId="{939F5940-F19B-4F81-957E-56CA151280E5}" type="parTrans" cxnId="{61FDD313-1A96-4D22-B815-E5F0147109BF}">
      <dgm:prSet/>
      <dgm:spPr/>
      <dgm:t>
        <a:bodyPr/>
        <a:lstStyle/>
        <a:p>
          <a:endParaRPr lang="es-ES"/>
        </a:p>
      </dgm:t>
    </dgm:pt>
    <dgm:pt modelId="{74E60C2F-9C24-4416-A9E7-8838CB67773A}" type="sibTrans" cxnId="{61FDD313-1A96-4D22-B815-E5F0147109BF}">
      <dgm:prSet/>
      <dgm:spPr/>
      <dgm:t>
        <a:bodyPr/>
        <a:lstStyle/>
        <a:p>
          <a:endParaRPr lang="es-ES"/>
        </a:p>
      </dgm:t>
    </dgm:pt>
    <dgm:pt modelId="{8CDDD829-F907-4A39-9013-4A64ACA34BD6}">
      <dgm:prSet phldrT="[Texto]"/>
      <dgm:spPr/>
      <dgm:t>
        <a:bodyPr/>
        <a:lstStyle/>
        <a:p>
          <a:r>
            <a:rPr lang="es-ES"/>
            <a:t>Solar pressure</a:t>
          </a:r>
        </a:p>
      </dgm:t>
    </dgm:pt>
    <dgm:pt modelId="{B7392DDF-E79D-4EE0-81B7-3454AF463D16}" type="parTrans" cxnId="{3A00E70E-4025-4D7E-9D4E-70C12FF7D25D}">
      <dgm:prSet/>
      <dgm:spPr/>
      <dgm:t>
        <a:bodyPr/>
        <a:lstStyle/>
        <a:p>
          <a:endParaRPr lang="es-ES"/>
        </a:p>
      </dgm:t>
    </dgm:pt>
    <dgm:pt modelId="{45B945A1-9434-4209-8233-5DD714CD383A}" type="sibTrans" cxnId="{3A00E70E-4025-4D7E-9D4E-70C12FF7D25D}">
      <dgm:prSet/>
      <dgm:spPr/>
      <dgm:t>
        <a:bodyPr/>
        <a:lstStyle/>
        <a:p>
          <a:endParaRPr lang="es-ES"/>
        </a:p>
      </dgm:t>
    </dgm:pt>
    <dgm:pt modelId="{C9F0E981-DFF0-4F55-AA65-1839C331A0F6}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/>
            <a:t>Sizing</a:t>
          </a:r>
        </a:p>
      </dgm:t>
    </dgm:pt>
    <dgm:pt modelId="{9D313D8F-6298-4D1F-B52D-16DE3B57F117}" type="parTrans" cxnId="{2648B7BB-A221-47FE-98E1-2C22AAFCC58E}">
      <dgm:prSet/>
      <dgm:spPr/>
      <dgm:t>
        <a:bodyPr/>
        <a:lstStyle/>
        <a:p>
          <a:endParaRPr lang="es-ES"/>
        </a:p>
      </dgm:t>
    </dgm:pt>
    <dgm:pt modelId="{6D20437A-834C-41E0-9F7C-003C6D6612FF}" type="sibTrans" cxnId="{2648B7BB-A221-47FE-98E1-2C22AAFCC58E}">
      <dgm:prSet/>
      <dgm:spPr/>
      <dgm:t>
        <a:bodyPr/>
        <a:lstStyle/>
        <a:p>
          <a:endParaRPr lang="es-ES"/>
        </a:p>
      </dgm:t>
    </dgm:pt>
    <dgm:pt modelId="{49846D8F-087A-4DA6-AA44-DB0A56E486E3}">
      <dgm:prSet phldrT="[Texto]"/>
      <dgm:spPr/>
      <dgm:t>
        <a:bodyPr/>
        <a:lstStyle/>
        <a:p>
          <a:r>
            <a:rPr lang="es-ES"/>
            <a:t>Slewing</a:t>
          </a:r>
        </a:p>
      </dgm:t>
    </dgm:pt>
    <dgm:pt modelId="{AFD5010E-560B-4B82-B119-3D555BFABBC7}" type="parTrans" cxnId="{B7F9CD69-8BE6-4BC5-8BFE-17CD3A9FC570}">
      <dgm:prSet/>
      <dgm:spPr/>
      <dgm:t>
        <a:bodyPr/>
        <a:lstStyle/>
        <a:p>
          <a:endParaRPr lang="es-ES"/>
        </a:p>
      </dgm:t>
    </dgm:pt>
    <dgm:pt modelId="{1F855AEF-F8C2-4D7B-BCB1-EDAFA9AF9B9A}" type="sibTrans" cxnId="{B7F9CD69-8BE6-4BC5-8BFE-17CD3A9FC570}">
      <dgm:prSet/>
      <dgm:spPr/>
      <dgm:t>
        <a:bodyPr/>
        <a:lstStyle/>
        <a:p>
          <a:endParaRPr lang="es-ES"/>
        </a:p>
      </dgm:t>
    </dgm:pt>
    <dgm:pt modelId="{D4204EE0-13BF-46F5-809E-4ED15398B57A}">
      <dgm:prSet phldrT="[Texto]"/>
      <dgm:spPr/>
      <dgm:t>
        <a:bodyPr/>
        <a:lstStyle/>
        <a:p>
          <a:r>
            <a:rPr lang="es-ES"/>
            <a:t>Compensate disturbances</a:t>
          </a:r>
        </a:p>
      </dgm:t>
    </dgm:pt>
    <dgm:pt modelId="{446B3A9A-6184-44BC-9905-98CA54B92F2C}" type="parTrans" cxnId="{A3ECE004-4031-468E-B455-47DF882D472B}">
      <dgm:prSet/>
      <dgm:spPr/>
      <dgm:t>
        <a:bodyPr/>
        <a:lstStyle/>
        <a:p>
          <a:endParaRPr lang="es-ES"/>
        </a:p>
      </dgm:t>
    </dgm:pt>
    <dgm:pt modelId="{BBEC0F62-0749-4C2B-A6C5-BA80296B098F}" type="sibTrans" cxnId="{A3ECE004-4031-468E-B455-47DF882D472B}">
      <dgm:prSet/>
      <dgm:spPr/>
      <dgm:t>
        <a:bodyPr/>
        <a:lstStyle/>
        <a:p>
          <a:endParaRPr lang="es-ES"/>
        </a:p>
      </dgm:t>
    </dgm:pt>
    <dgm:pt modelId="{DA7C822A-0857-4047-9978-4C8F70EC2589}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es-ES"/>
            <a:t>Choose/Design actuators</a:t>
          </a:r>
        </a:p>
      </dgm:t>
    </dgm:pt>
    <dgm:pt modelId="{2127902E-8B19-44EF-A14A-C18E835AFA51}" type="parTrans" cxnId="{EFE68EEA-55F8-4425-A2F5-F126BB9D2E4D}">
      <dgm:prSet/>
      <dgm:spPr/>
      <dgm:t>
        <a:bodyPr/>
        <a:lstStyle/>
        <a:p>
          <a:endParaRPr lang="es-ES"/>
        </a:p>
      </dgm:t>
    </dgm:pt>
    <dgm:pt modelId="{DCB21A64-3437-47DA-A2B5-1A6CCA601948}" type="sibTrans" cxnId="{EFE68EEA-55F8-4425-A2F5-F126BB9D2E4D}">
      <dgm:prSet/>
      <dgm:spPr/>
      <dgm:t>
        <a:bodyPr/>
        <a:lstStyle/>
        <a:p>
          <a:endParaRPr lang="es-ES"/>
        </a:p>
      </dgm:t>
    </dgm:pt>
    <dgm:pt modelId="{6CF17ABB-557C-43B3-A5A7-CFB98CC4AE71}">
      <dgm:prSet phldrT="[Texto]"/>
      <dgm:spPr/>
      <dgm:t>
        <a:bodyPr/>
        <a:lstStyle/>
        <a:p>
          <a:r>
            <a:rPr lang="es-ES"/>
            <a:t>Magnetometres</a:t>
          </a:r>
        </a:p>
      </dgm:t>
    </dgm:pt>
    <dgm:pt modelId="{83758AB0-6936-462F-8D8F-BA40E224E3C4}" type="parTrans" cxnId="{4F308418-5A59-4246-9B52-BA5D84094EE3}">
      <dgm:prSet/>
      <dgm:spPr/>
      <dgm:t>
        <a:bodyPr/>
        <a:lstStyle/>
        <a:p>
          <a:endParaRPr lang="es-ES"/>
        </a:p>
      </dgm:t>
    </dgm:pt>
    <dgm:pt modelId="{3263C9A9-5E9D-4081-8ADB-21A1E85A8A95}" type="sibTrans" cxnId="{4F308418-5A59-4246-9B52-BA5D84094EE3}">
      <dgm:prSet/>
      <dgm:spPr/>
      <dgm:t>
        <a:bodyPr/>
        <a:lstStyle/>
        <a:p>
          <a:endParaRPr lang="es-ES"/>
        </a:p>
      </dgm:t>
    </dgm:pt>
    <dgm:pt modelId="{487FD634-AF20-4F22-8E3E-6FF9B1E428D4}">
      <dgm:prSet phldrT="[Texto]"/>
      <dgm:spPr/>
      <dgm:t>
        <a:bodyPr/>
        <a:lstStyle/>
        <a:p>
          <a:r>
            <a:rPr lang="es-ES"/>
            <a:t>Magnetic field</a:t>
          </a:r>
        </a:p>
      </dgm:t>
    </dgm:pt>
    <dgm:pt modelId="{E828D114-5834-4365-96B8-A4FD31C7E3FE}" type="parTrans" cxnId="{A98F2113-AD36-4B7A-9666-0789638D1B08}">
      <dgm:prSet/>
      <dgm:spPr/>
      <dgm:t>
        <a:bodyPr/>
        <a:lstStyle/>
        <a:p>
          <a:endParaRPr lang="es-ES"/>
        </a:p>
      </dgm:t>
    </dgm:pt>
    <dgm:pt modelId="{E3F34DB7-F40D-4A84-B63E-9F0450F01628}" type="sibTrans" cxnId="{A98F2113-AD36-4B7A-9666-0789638D1B08}">
      <dgm:prSet/>
      <dgm:spPr/>
      <dgm:t>
        <a:bodyPr/>
        <a:lstStyle/>
        <a:p>
          <a:endParaRPr lang="es-ES"/>
        </a:p>
      </dgm:t>
    </dgm:pt>
    <dgm:pt modelId="{4B38C050-C6A4-4F15-99FB-C75604E7B388}">
      <dgm:prSet phldrT="[Texto]"/>
      <dgm:spPr/>
      <dgm:t>
        <a:bodyPr/>
        <a:lstStyle/>
        <a:p>
          <a:r>
            <a:rPr lang="es-ES"/>
            <a:t>Atmosphere</a:t>
          </a:r>
        </a:p>
      </dgm:t>
    </dgm:pt>
    <dgm:pt modelId="{EEDBBD45-FB90-46D4-B078-C2E4F9DD1E01}" type="parTrans" cxnId="{5309A8FC-AD08-404B-BC76-2FAC72D1A1DA}">
      <dgm:prSet/>
      <dgm:spPr/>
      <dgm:t>
        <a:bodyPr/>
        <a:lstStyle/>
        <a:p>
          <a:endParaRPr lang="es-ES"/>
        </a:p>
      </dgm:t>
    </dgm:pt>
    <dgm:pt modelId="{A5B65B66-778C-4EC5-A048-59643A87A8B4}" type="sibTrans" cxnId="{5309A8FC-AD08-404B-BC76-2FAC72D1A1DA}">
      <dgm:prSet/>
      <dgm:spPr/>
      <dgm:t>
        <a:bodyPr/>
        <a:lstStyle/>
        <a:p>
          <a:endParaRPr lang="es-ES"/>
        </a:p>
      </dgm:t>
    </dgm:pt>
    <dgm:pt modelId="{3A408F02-B436-4683-89F4-1DEABAF0B9EE}">
      <dgm:prSet phldrT="[Texto]"/>
      <dgm:spPr/>
      <dgm:t>
        <a:bodyPr/>
        <a:lstStyle/>
        <a:p>
          <a:endParaRPr lang="es-ES"/>
        </a:p>
      </dgm:t>
    </dgm:pt>
    <dgm:pt modelId="{870CDFF8-1F09-4A66-90F3-AEA99EF06735}" type="parTrans" cxnId="{ACFBB6D8-C379-45D1-88BF-0C58B6025C3A}">
      <dgm:prSet/>
      <dgm:spPr/>
      <dgm:t>
        <a:bodyPr/>
        <a:lstStyle/>
        <a:p>
          <a:endParaRPr lang="es-ES"/>
        </a:p>
      </dgm:t>
    </dgm:pt>
    <dgm:pt modelId="{3DEB1C2F-A1FD-4484-BD0C-0EE54406F334}" type="sibTrans" cxnId="{ACFBB6D8-C379-45D1-88BF-0C58B6025C3A}">
      <dgm:prSet/>
      <dgm:spPr/>
      <dgm:t>
        <a:bodyPr/>
        <a:lstStyle/>
        <a:p>
          <a:endParaRPr lang="es-ES"/>
        </a:p>
      </dgm:t>
    </dgm:pt>
    <dgm:pt modelId="{F6C6C422-6858-4EA9-B9B2-DFCDD4BE870D}">
      <dgm:prSet phldrT="[Texto]"/>
      <dgm:spPr/>
      <dgm:t>
        <a:bodyPr/>
        <a:lstStyle/>
        <a:p>
          <a:r>
            <a:rPr lang="es-ES"/>
            <a:t>Reaction wheels</a:t>
          </a:r>
        </a:p>
      </dgm:t>
    </dgm:pt>
    <dgm:pt modelId="{C6C23FA9-1E68-4B4E-AF8C-DF51999284A7}" type="parTrans" cxnId="{576FD9DC-498F-454F-9BB3-C4BF366EA111}">
      <dgm:prSet/>
      <dgm:spPr/>
      <dgm:t>
        <a:bodyPr/>
        <a:lstStyle/>
        <a:p>
          <a:endParaRPr lang="es-ES"/>
        </a:p>
      </dgm:t>
    </dgm:pt>
    <dgm:pt modelId="{B95E3DD6-5C44-4583-8F07-E4B6E28354F4}" type="sibTrans" cxnId="{576FD9DC-498F-454F-9BB3-C4BF366EA111}">
      <dgm:prSet/>
      <dgm:spPr/>
      <dgm:t>
        <a:bodyPr/>
        <a:lstStyle/>
        <a:p>
          <a:endParaRPr lang="es-ES"/>
        </a:p>
      </dgm:t>
    </dgm:pt>
    <dgm:pt modelId="{4F07C7E3-4C3C-43F1-834C-35C0D3CA4E1A}">
      <dgm:prSet/>
      <dgm:spPr/>
      <dgm:t>
        <a:bodyPr/>
        <a:lstStyle/>
        <a:p>
          <a:r>
            <a:rPr lang="es-ES"/>
            <a:t>Magnetorquers</a:t>
          </a:r>
        </a:p>
      </dgm:t>
    </dgm:pt>
    <dgm:pt modelId="{5E0B4815-0D82-4231-BDA8-083C96B80B29}" type="parTrans" cxnId="{553D597E-C416-48D5-AD2D-DCF97AEAEEE4}">
      <dgm:prSet/>
      <dgm:spPr/>
      <dgm:t>
        <a:bodyPr/>
        <a:lstStyle/>
        <a:p>
          <a:endParaRPr lang="es-ES"/>
        </a:p>
      </dgm:t>
    </dgm:pt>
    <dgm:pt modelId="{B7B10CF4-B5E9-47F5-80C2-4D6CC62009CE}" type="sibTrans" cxnId="{553D597E-C416-48D5-AD2D-DCF97AEAEEE4}">
      <dgm:prSet/>
      <dgm:spPr/>
      <dgm:t>
        <a:bodyPr/>
        <a:lstStyle/>
        <a:p>
          <a:endParaRPr lang="es-ES"/>
        </a:p>
      </dgm:t>
    </dgm:pt>
    <dgm:pt modelId="{0A27651C-DCB5-425A-B77A-9FB41F76F27A}">
      <dgm:prSet phldrT="[Texto]"/>
      <dgm:spPr>
        <a:solidFill>
          <a:schemeClr val="accent4">
            <a:lumMod val="60000"/>
            <a:lumOff val="40000"/>
          </a:schemeClr>
        </a:solidFill>
      </dgm:spPr>
      <dgm:t>
        <a:bodyPr/>
        <a:lstStyle/>
        <a:p>
          <a:r>
            <a:rPr lang="es-ES"/>
            <a:t>Choose/Design sensors</a:t>
          </a:r>
        </a:p>
      </dgm:t>
    </dgm:pt>
    <dgm:pt modelId="{EA0E7800-ED6E-4081-822F-DE1D722962A2}" type="parTrans" cxnId="{91A9A2EA-B893-465F-B807-E0DDA45C0B27}">
      <dgm:prSet/>
      <dgm:spPr/>
      <dgm:t>
        <a:bodyPr/>
        <a:lstStyle/>
        <a:p>
          <a:endParaRPr lang="es-ES"/>
        </a:p>
      </dgm:t>
    </dgm:pt>
    <dgm:pt modelId="{65CCF650-3732-4BDE-BBF8-28706CA437DA}" type="sibTrans" cxnId="{91A9A2EA-B893-465F-B807-E0DDA45C0B27}">
      <dgm:prSet/>
      <dgm:spPr/>
      <dgm:t>
        <a:bodyPr/>
        <a:lstStyle/>
        <a:p>
          <a:endParaRPr lang="es-ES"/>
        </a:p>
      </dgm:t>
    </dgm:pt>
    <dgm:pt modelId="{28E21775-F50C-401F-A103-A49EF1095C0F}">
      <dgm:prSet phldrT="[Texto]"/>
      <dgm:spPr/>
      <dgm:t>
        <a:bodyPr/>
        <a:lstStyle/>
        <a:p>
          <a:r>
            <a:rPr lang="es-ES"/>
            <a:t>Desaturation</a:t>
          </a:r>
        </a:p>
      </dgm:t>
    </dgm:pt>
    <dgm:pt modelId="{8C7F50F1-AC0E-42A6-9B39-C85492D213ED}" type="parTrans" cxnId="{C9B55D54-E40C-4F31-A8BD-E1E2E9A830FE}">
      <dgm:prSet/>
      <dgm:spPr/>
      <dgm:t>
        <a:bodyPr/>
        <a:lstStyle/>
        <a:p>
          <a:endParaRPr lang="es-ES"/>
        </a:p>
      </dgm:t>
    </dgm:pt>
    <dgm:pt modelId="{F955E940-3E4B-48D4-B987-B9BC6E73B637}" type="sibTrans" cxnId="{C9B55D54-E40C-4F31-A8BD-E1E2E9A830FE}">
      <dgm:prSet/>
      <dgm:spPr/>
      <dgm:t>
        <a:bodyPr/>
        <a:lstStyle/>
        <a:p>
          <a:endParaRPr lang="es-ES"/>
        </a:p>
      </dgm:t>
    </dgm:pt>
    <dgm:pt modelId="{44C7ADFB-99EC-4A91-B0C3-FBCE6F6A9399}">
      <dgm:prSet/>
      <dgm:spPr/>
      <dgm:t>
        <a:bodyPr/>
        <a:lstStyle/>
        <a:p>
          <a:r>
            <a:rPr lang="es-ES"/>
            <a:t>Momentum wheels</a:t>
          </a:r>
        </a:p>
      </dgm:t>
    </dgm:pt>
    <dgm:pt modelId="{B24C1898-C150-462B-B449-2FA883B7E6F0}" type="parTrans" cxnId="{AE1BD0BB-2CB7-49C7-B37A-98E4EBC0844A}">
      <dgm:prSet/>
      <dgm:spPr/>
      <dgm:t>
        <a:bodyPr/>
        <a:lstStyle/>
        <a:p>
          <a:endParaRPr lang="es-ES"/>
        </a:p>
      </dgm:t>
    </dgm:pt>
    <dgm:pt modelId="{EBDBB846-2700-4652-B7D5-B584BD1E5FC4}" type="sibTrans" cxnId="{AE1BD0BB-2CB7-49C7-B37A-98E4EBC0844A}">
      <dgm:prSet/>
      <dgm:spPr/>
      <dgm:t>
        <a:bodyPr/>
        <a:lstStyle/>
        <a:p>
          <a:endParaRPr lang="es-ES"/>
        </a:p>
      </dgm:t>
    </dgm:pt>
    <dgm:pt modelId="{9FFEA17A-FE98-40E3-AC34-56C1E0FA5BFE}">
      <dgm:prSet/>
      <dgm:spPr/>
      <dgm:t>
        <a:bodyPr/>
        <a:lstStyle/>
        <a:p>
          <a:r>
            <a:rPr lang="es-ES"/>
            <a:t>...</a:t>
          </a:r>
        </a:p>
      </dgm:t>
    </dgm:pt>
    <dgm:pt modelId="{C0FF7124-B93F-418E-AE30-62216AC37782}" type="parTrans" cxnId="{032D0DE5-EC7E-4889-8CA4-18E42B803280}">
      <dgm:prSet/>
      <dgm:spPr/>
      <dgm:t>
        <a:bodyPr/>
        <a:lstStyle/>
        <a:p>
          <a:endParaRPr lang="es-ES"/>
        </a:p>
      </dgm:t>
    </dgm:pt>
    <dgm:pt modelId="{F9DB7FB4-98CF-4847-AF8D-C92650A2531C}" type="sibTrans" cxnId="{032D0DE5-EC7E-4889-8CA4-18E42B803280}">
      <dgm:prSet/>
      <dgm:spPr/>
      <dgm:t>
        <a:bodyPr/>
        <a:lstStyle/>
        <a:p>
          <a:endParaRPr lang="es-ES"/>
        </a:p>
      </dgm:t>
    </dgm:pt>
    <dgm:pt modelId="{3E3C43EF-1CBB-4884-96E4-A883EA476037}">
      <dgm:prSet phldrT="[Texto]"/>
      <dgm:spPr/>
      <dgm:t>
        <a:bodyPr/>
        <a:lstStyle/>
        <a:p>
          <a:r>
            <a:rPr lang="es-ES"/>
            <a:t>Thrusters</a:t>
          </a:r>
        </a:p>
      </dgm:t>
    </dgm:pt>
    <dgm:pt modelId="{015DF67B-F547-4899-ACB7-983E0D4134BE}" type="parTrans" cxnId="{40C1AF9B-59F2-43F5-B45D-ACAF3190F79F}">
      <dgm:prSet/>
      <dgm:spPr/>
      <dgm:t>
        <a:bodyPr/>
        <a:lstStyle/>
        <a:p>
          <a:endParaRPr lang="es-ES"/>
        </a:p>
      </dgm:t>
    </dgm:pt>
    <dgm:pt modelId="{96D66DF2-1C8A-4907-893F-D3D16BC85DEB}" type="sibTrans" cxnId="{40C1AF9B-59F2-43F5-B45D-ACAF3190F79F}">
      <dgm:prSet/>
      <dgm:spPr/>
      <dgm:t>
        <a:bodyPr/>
        <a:lstStyle/>
        <a:p>
          <a:endParaRPr lang="es-ES"/>
        </a:p>
      </dgm:t>
    </dgm:pt>
    <dgm:pt modelId="{D726F169-75E1-4537-8AFC-3DFCB556602E}">
      <dgm:prSet phldrT="[Texto]"/>
      <dgm:spPr/>
      <dgm:t>
        <a:bodyPr/>
        <a:lstStyle/>
        <a:p>
          <a:r>
            <a:rPr lang="es-ES"/>
            <a:t>...</a:t>
          </a:r>
        </a:p>
      </dgm:t>
    </dgm:pt>
    <dgm:pt modelId="{DEF58627-5307-4511-ABC9-71C8E2B6CF3F}" type="parTrans" cxnId="{CFA2530B-D032-452C-827B-C36D2F9B4D24}">
      <dgm:prSet/>
      <dgm:spPr/>
      <dgm:t>
        <a:bodyPr/>
        <a:lstStyle/>
        <a:p>
          <a:endParaRPr lang="es-ES"/>
        </a:p>
      </dgm:t>
    </dgm:pt>
    <dgm:pt modelId="{97656552-0F42-4FBD-B563-0AA55F0498F1}" type="sibTrans" cxnId="{CFA2530B-D032-452C-827B-C36D2F9B4D24}">
      <dgm:prSet/>
      <dgm:spPr/>
      <dgm:t>
        <a:bodyPr/>
        <a:lstStyle/>
        <a:p>
          <a:endParaRPr lang="es-ES"/>
        </a:p>
      </dgm:t>
    </dgm:pt>
    <dgm:pt modelId="{095F1342-931D-4FB5-B72B-94DADD491DDF}">
      <dgm:prSet phldrT="[Texto]"/>
      <dgm:spPr/>
      <dgm:t>
        <a:bodyPr/>
        <a:lstStyle/>
        <a:p>
          <a:r>
            <a:rPr lang="es-ES"/>
            <a:t>Star trackers</a:t>
          </a:r>
        </a:p>
      </dgm:t>
    </dgm:pt>
    <dgm:pt modelId="{3A36E014-DD05-49F1-8073-614CFEC88743}" type="sibTrans" cxnId="{B2A4375A-F94E-4D9D-A5C2-F1ACBD88BA53}">
      <dgm:prSet/>
      <dgm:spPr/>
      <dgm:t>
        <a:bodyPr/>
        <a:lstStyle/>
        <a:p>
          <a:endParaRPr lang="es-ES"/>
        </a:p>
      </dgm:t>
    </dgm:pt>
    <dgm:pt modelId="{40ABC3A6-E092-4B66-BF70-548D7B5B52AF}" type="parTrans" cxnId="{B2A4375A-F94E-4D9D-A5C2-F1ACBD88BA53}">
      <dgm:prSet/>
      <dgm:spPr/>
      <dgm:t>
        <a:bodyPr/>
        <a:lstStyle/>
        <a:p>
          <a:endParaRPr lang="es-ES"/>
        </a:p>
      </dgm:t>
    </dgm:pt>
    <dgm:pt modelId="{5D12ED09-F46D-4EDC-8622-1EABB7971C7A}">
      <dgm:prSet phldrT="[Texto]"/>
      <dgm:spPr/>
      <dgm:t>
        <a:bodyPr/>
        <a:lstStyle/>
        <a:p>
          <a:r>
            <a:rPr lang="es-ES"/>
            <a:t>Gyroscopes</a:t>
          </a:r>
        </a:p>
      </dgm:t>
    </dgm:pt>
    <dgm:pt modelId="{7447E259-4451-480B-8E2B-68AF794814CC}" type="sibTrans" cxnId="{534004BB-79E1-46FF-BD87-F431C99C9115}">
      <dgm:prSet/>
      <dgm:spPr/>
      <dgm:t>
        <a:bodyPr/>
        <a:lstStyle/>
        <a:p>
          <a:endParaRPr lang="es-ES"/>
        </a:p>
      </dgm:t>
    </dgm:pt>
    <dgm:pt modelId="{FF031177-4466-4CC2-A564-13E440DBB09D}" type="parTrans" cxnId="{534004BB-79E1-46FF-BD87-F431C99C9115}">
      <dgm:prSet/>
      <dgm:spPr/>
      <dgm:t>
        <a:bodyPr/>
        <a:lstStyle/>
        <a:p>
          <a:endParaRPr lang="es-ES"/>
        </a:p>
      </dgm:t>
    </dgm:pt>
    <dgm:pt modelId="{614D0DF6-B38A-41D5-8E53-4835ABE49FA9}">
      <dgm:prSet phldrT="[Texto]"/>
      <dgm:spPr/>
      <dgm:t>
        <a:bodyPr/>
        <a:lstStyle/>
        <a:p>
          <a:r>
            <a:rPr lang="es-ES"/>
            <a:t>Earth sensors</a:t>
          </a:r>
        </a:p>
      </dgm:t>
    </dgm:pt>
    <dgm:pt modelId="{3B2B6E8B-1EE4-413A-8E2B-89FE3468E779}" type="sibTrans" cxnId="{27E0CEB0-2C3B-46F5-B3EB-00564A18BFE5}">
      <dgm:prSet/>
      <dgm:spPr/>
      <dgm:t>
        <a:bodyPr/>
        <a:lstStyle/>
        <a:p>
          <a:endParaRPr lang="es-ES"/>
        </a:p>
      </dgm:t>
    </dgm:pt>
    <dgm:pt modelId="{912D95BE-9500-47DA-9DC8-1AA631677F9E}" type="parTrans" cxnId="{27E0CEB0-2C3B-46F5-B3EB-00564A18BFE5}">
      <dgm:prSet/>
      <dgm:spPr/>
      <dgm:t>
        <a:bodyPr/>
        <a:lstStyle/>
        <a:p>
          <a:endParaRPr lang="es-ES"/>
        </a:p>
      </dgm:t>
    </dgm:pt>
    <dgm:pt modelId="{0C139647-07E9-4D87-BDCF-F97ED74726AF}">
      <dgm:prSet phldrT="[Texto]"/>
      <dgm:spPr/>
      <dgm:t>
        <a:bodyPr/>
        <a:lstStyle/>
        <a:p>
          <a:r>
            <a:rPr lang="es-ES"/>
            <a:t>...</a:t>
          </a:r>
        </a:p>
      </dgm:t>
    </dgm:pt>
    <dgm:pt modelId="{5BAB4AE6-D065-438B-A67A-9C715AED9E7A}" type="sibTrans" cxnId="{00EA372F-0EC1-475F-9DDD-2C9D672E7751}">
      <dgm:prSet/>
      <dgm:spPr/>
      <dgm:t>
        <a:bodyPr/>
        <a:lstStyle/>
        <a:p>
          <a:endParaRPr lang="es-ES"/>
        </a:p>
      </dgm:t>
    </dgm:pt>
    <dgm:pt modelId="{9D83D568-0717-4AC8-B1CD-E2BB5B9B1611}" type="parTrans" cxnId="{00EA372F-0EC1-475F-9DDD-2C9D672E7751}">
      <dgm:prSet/>
      <dgm:spPr/>
      <dgm:t>
        <a:bodyPr/>
        <a:lstStyle/>
        <a:p>
          <a:endParaRPr lang="es-ES"/>
        </a:p>
      </dgm:t>
    </dgm:pt>
    <dgm:pt modelId="{38643A05-F394-48A1-8CC8-8434E9C2D48B}" type="pres">
      <dgm:prSet presAssocID="{5301D29A-698F-42AD-8857-B4E4F6F17574}" presName="Name0" presStyleCnt="0">
        <dgm:presLayoutVars>
          <dgm:dir/>
          <dgm:animLvl val="lvl"/>
          <dgm:resizeHandles val="exact"/>
        </dgm:presLayoutVars>
      </dgm:prSet>
      <dgm:spPr/>
    </dgm:pt>
    <dgm:pt modelId="{0725AB2E-2DD4-453C-B06C-D5C440C01FE7}" type="pres">
      <dgm:prSet presAssocID="{E261A3F6-3F4B-4508-A375-4D7C0AADE4F8}" presName="composite" presStyleCnt="0"/>
      <dgm:spPr/>
    </dgm:pt>
    <dgm:pt modelId="{45D25F56-BABD-4CF6-9D74-E41CD4EB48D9}" type="pres">
      <dgm:prSet presAssocID="{E261A3F6-3F4B-4508-A375-4D7C0AADE4F8}" presName="parTx" presStyleLbl="node1" presStyleIdx="0" presStyleCnt="4">
        <dgm:presLayoutVars>
          <dgm:chMax val="0"/>
          <dgm:chPref val="0"/>
          <dgm:bulletEnabled val="1"/>
        </dgm:presLayoutVars>
      </dgm:prSet>
      <dgm:spPr/>
    </dgm:pt>
    <dgm:pt modelId="{0EE12F3D-9033-48A0-81D7-FA9C7456DDBA}" type="pres">
      <dgm:prSet presAssocID="{E261A3F6-3F4B-4508-A375-4D7C0AADE4F8}" presName="desTx" presStyleLbl="revTx" presStyleIdx="0" presStyleCnt="4">
        <dgm:presLayoutVars>
          <dgm:bulletEnabled val="1"/>
        </dgm:presLayoutVars>
      </dgm:prSet>
      <dgm:spPr/>
    </dgm:pt>
    <dgm:pt modelId="{38A084E8-B259-4BD9-945B-B91302C17949}" type="pres">
      <dgm:prSet presAssocID="{B016A629-E7B2-40B6-A44F-012A7C26A7CC}" presName="space" presStyleCnt="0"/>
      <dgm:spPr/>
    </dgm:pt>
    <dgm:pt modelId="{A43F82C3-B6DF-4904-9267-BB4C7226BE8C}" type="pres">
      <dgm:prSet presAssocID="{C9F0E981-DFF0-4F55-AA65-1839C331A0F6}" presName="composite" presStyleCnt="0"/>
      <dgm:spPr/>
    </dgm:pt>
    <dgm:pt modelId="{DB75901D-8D6C-4E3C-9C5E-A43BF026F58C}" type="pres">
      <dgm:prSet presAssocID="{C9F0E981-DFF0-4F55-AA65-1839C331A0F6}" presName="parTx" presStyleLbl="node1" presStyleIdx="1" presStyleCnt="4">
        <dgm:presLayoutVars>
          <dgm:chMax val="0"/>
          <dgm:chPref val="0"/>
          <dgm:bulletEnabled val="1"/>
        </dgm:presLayoutVars>
      </dgm:prSet>
      <dgm:spPr/>
    </dgm:pt>
    <dgm:pt modelId="{7C730F64-3DF9-48BB-A116-FD13B26AF425}" type="pres">
      <dgm:prSet presAssocID="{C9F0E981-DFF0-4F55-AA65-1839C331A0F6}" presName="desTx" presStyleLbl="revTx" presStyleIdx="1" presStyleCnt="4">
        <dgm:presLayoutVars>
          <dgm:bulletEnabled val="1"/>
        </dgm:presLayoutVars>
      </dgm:prSet>
      <dgm:spPr/>
    </dgm:pt>
    <dgm:pt modelId="{FDAB4FD7-4073-45D6-8076-937D7045BF44}" type="pres">
      <dgm:prSet presAssocID="{6D20437A-834C-41E0-9F7C-003C6D6612FF}" presName="space" presStyleCnt="0"/>
      <dgm:spPr/>
    </dgm:pt>
    <dgm:pt modelId="{E6533DE1-2C00-4F75-AE01-CF33AF0B614B}" type="pres">
      <dgm:prSet presAssocID="{DA7C822A-0857-4047-9978-4C8F70EC2589}" presName="composite" presStyleCnt="0"/>
      <dgm:spPr/>
    </dgm:pt>
    <dgm:pt modelId="{63D0F147-0DDD-4F69-9F63-222EB3326421}" type="pres">
      <dgm:prSet presAssocID="{DA7C822A-0857-4047-9978-4C8F70EC2589}" presName="parTx" presStyleLbl="node1" presStyleIdx="2" presStyleCnt="4">
        <dgm:presLayoutVars>
          <dgm:chMax val="0"/>
          <dgm:chPref val="0"/>
          <dgm:bulletEnabled val="1"/>
        </dgm:presLayoutVars>
      </dgm:prSet>
      <dgm:spPr/>
    </dgm:pt>
    <dgm:pt modelId="{2CBA912A-1A98-4569-811B-D059A098E39D}" type="pres">
      <dgm:prSet presAssocID="{DA7C822A-0857-4047-9978-4C8F70EC2589}" presName="desTx" presStyleLbl="revTx" presStyleIdx="2" presStyleCnt="4">
        <dgm:presLayoutVars>
          <dgm:bulletEnabled val="1"/>
        </dgm:presLayoutVars>
      </dgm:prSet>
      <dgm:spPr/>
    </dgm:pt>
    <dgm:pt modelId="{5290B81C-A7CF-436A-9D94-BD113EF1EE75}" type="pres">
      <dgm:prSet presAssocID="{DCB21A64-3437-47DA-A2B5-1A6CCA601948}" presName="space" presStyleCnt="0"/>
      <dgm:spPr/>
    </dgm:pt>
    <dgm:pt modelId="{4810F411-5B08-4B28-B32E-E1C0176AC5CC}" type="pres">
      <dgm:prSet presAssocID="{0A27651C-DCB5-425A-B77A-9FB41F76F27A}" presName="composite" presStyleCnt="0"/>
      <dgm:spPr/>
    </dgm:pt>
    <dgm:pt modelId="{FE1E6C16-86FD-4380-B379-6F65588EE5E0}" type="pres">
      <dgm:prSet presAssocID="{0A27651C-DCB5-425A-B77A-9FB41F76F27A}" presName="parTx" presStyleLbl="node1" presStyleIdx="3" presStyleCnt="4">
        <dgm:presLayoutVars>
          <dgm:chMax val="0"/>
          <dgm:chPref val="0"/>
          <dgm:bulletEnabled val="1"/>
        </dgm:presLayoutVars>
      </dgm:prSet>
      <dgm:spPr/>
    </dgm:pt>
    <dgm:pt modelId="{3EEAA80A-6B53-4EF2-8698-0B55C96B3B71}" type="pres">
      <dgm:prSet presAssocID="{0A27651C-DCB5-425A-B77A-9FB41F76F27A}" presName="desTx" presStyleLbl="revTx" presStyleIdx="3" presStyleCnt="4">
        <dgm:presLayoutVars>
          <dgm:bulletEnabled val="1"/>
        </dgm:presLayoutVars>
      </dgm:prSet>
      <dgm:spPr/>
    </dgm:pt>
  </dgm:ptLst>
  <dgm:cxnLst>
    <dgm:cxn modelId="{815F2F00-9CE0-4764-A2BC-FD05478EDA3F}" type="presOf" srcId="{C9F0E981-DFF0-4F55-AA65-1839C331A0F6}" destId="{DB75901D-8D6C-4E3C-9C5E-A43BF026F58C}" srcOrd="0" destOrd="0" presId="urn:microsoft.com/office/officeart/2005/8/layout/chevron1"/>
    <dgm:cxn modelId="{0E714F02-5747-4CBF-BDD3-17F7BA16A4D1}" type="presOf" srcId="{0C139647-07E9-4D87-BDCF-F97ED74726AF}" destId="{3EEAA80A-6B53-4EF2-8698-0B55C96B3B71}" srcOrd="0" destOrd="4" presId="urn:microsoft.com/office/officeart/2005/8/layout/chevron1"/>
    <dgm:cxn modelId="{A3ECE004-4031-468E-B455-47DF882D472B}" srcId="{C9F0E981-DFF0-4F55-AA65-1839C331A0F6}" destId="{D4204EE0-13BF-46F5-809E-4ED15398B57A}" srcOrd="1" destOrd="0" parTransId="{446B3A9A-6184-44BC-9905-98CA54B92F2C}" sibTransId="{BBEC0F62-0749-4C2B-A6C5-BA80296B098F}"/>
    <dgm:cxn modelId="{CFA2530B-D032-452C-827B-C36D2F9B4D24}" srcId="{C9F0E981-DFF0-4F55-AA65-1839C331A0F6}" destId="{D726F169-75E1-4537-8AFC-3DFCB556602E}" srcOrd="4" destOrd="0" parTransId="{DEF58627-5307-4511-ABC9-71C8E2B6CF3F}" sibTransId="{97656552-0F42-4FBD-B563-0AA55F0498F1}"/>
    <dgm:cxn modelId="{3A00E70E-4025-4D7E-9D4E-70C12FF7D25D}" srcId="{E261A3F6-3F4B-4508-A375-4D7C0AADE4F8}" destId="{8CDDD829-F907-4A39-9013-4A64ACA34BD6}" srcOrd="1" destOrd="0" parTransId="{B7392DDF-E79D-4EE0-81B7-3454AF463D16}" sibTransId="{45B945A1-9434-4209-8233-5DD714CD383A}"/>
    <dgm:cxn modelId="{A98F2113-AD36-4B7A-9666-0789638D1B08}" srcId="{E261A3F6-3F4B-4508-A375-4D7C0AADE4F8}" destId="{487FD634-AF20-4F22-8E3E-6FF9B1E428D4}" srcOrd="2" destOrd="0" parTransId="{E828D114-5834-4365-96B8-A4FD31C7E3FE}" sibTransId="{E3F34DB7-F40D-4A84-B63E-9F0450F01628}"/>
    <dgm:cxn modelId="{61FDD313-1A96-4D22-B815-E5F0147109BF}" srcId="{E261A3F6-3F4B-4508-A375-4D7C0AADE4F8}" destId="{BEED2B98-EC70-4A68-ABD8-E35306A41FAB}" srcOrd="0" destOrd="0" parTransId="{939F5940-F19B-4F81-957E-56CA151280E5}" sibTransId="{74E60C2F-9C24-4416-A9E7-8838CB67773A}"/>
    <dgm:cxn modelId="{4F308418-5A59-4246-9B52-BA5D84094EE3}" srcId="{0A27651C-DCB5-425A-B77A-9FB41F76F27A}" destId="{6CF17ABB-557C-43B3-A5A7-CFB98CC4AE71}" srcOrd="0" destOrd="0" parTransId="{83758AB0-6936-462F-8D8F-BA40E224E3C4}" sibTransId="{3263C9A9-5E9D-4081-8ADB-21A1E85A8A95}"/>
    <dgm:cxn modelId="{04070F27-9A92-4C66-974E-5EBC89711760}" type="presOf" srcId="{8CDDD829-F907-4A39-9013-4A64ACA34BD6}" destId="{0EE12F3D-9033-48A0-81D7-FA9C7456DDBA}" srcOrd="0" destOrd="1" presId="urn:microsoft.com/office/officeart/2005/8/layout/chevron1"/>
    <dgm:cxn modelId="{CFBF7A29-74C1-439F-A0F5-76E78361D8F8}" type="presOf" srcId="{4F07C7E3-4C3C-43F1-834C-35C0D3CA4E1A}" destId="{2CBA912A-1A98-4569-811B-D059A098E39D}" srcOrd="0" destOrd="1" presId="urn:microsoft.com/office/officeart/2005/8/layout/chevron1"/>
    <dgm:cxn modelId="{270B642D-6428-4D70-B6B9-E8B073EF40E7}" type="presOf" srcId="{E261A3F6-3F4B-4508-A375-4D7C0AADE4F8}" destId="{45D25F56-BABD-4CF6-9D74-E41CD4EB48D9}" srcOrd="0" destOrd="0" presId="urn:microsoft.com/office/officeart/2005/8/layout/chevron1"/>
    <dgm:cxn modelId="{60C1BC2D-FD27-47BA-BFC2-9DD8200B7381}" type="presOf" srcId="{D4204EE0-13BF-46F5-809E-4ED15398B57A}" destId="{7C730F64-3DF9-48BB-A116-FD13B26AF425}" srcOrd="0" destOrd="1" presId="urn:microsoft.com/office/officeart/2005/8/layout/chevron1"/>
    <dgm:cxn modelId="{00EA372F-0EC1-475F-9DDD-2C9D672E7751}" srcId="{0A27651C-DCB5-425A-B77A-9FB41F76F27A}" destId="{0C139647-07E9-4D87-BDCF-F97ED74726AF}" srcOrd="4" destOrd="0" parTransId="{9D83D568-0717-4AC8-B1CD-E2BB5B9B1611}" sibTransId="{5BAB4AE6-D065-438B-A67A-9C715AED9E7A}"/>
    <dgm:cxn modelId="{2C7B1831-12C7-43D7-BB12-5B3C0A646196}" type="presOf" srcId="{095F1342-931D-4FB5-B72B-94DADD491DDF}" destId="{3EEAA80A-6B53-4EF2-8698-0B55C96B3B71}" srcOrd="0" destOrd="1" presId="urn:microsoft.com/office/officeart/2005/8/layout/chevron1"/>
    <dgm:cxn modelId="{CC51495C-5F78-469D-B12F-4E4C655DB75A}" type="presOf" srcId="{3A408F02-B436-4683-89F4-1DEABAF0B9EE}" destId="{7C730F64-3DF9-48BB-A116-FD13B26AF425}" srcOrd="0" destOrd="5" presId="urn:microsoft.com/office/officeart/2005/8/layout/chevron1"/>
    <dgm:cxn modelId="{FA36E75C-89AC-4907-8CFC-B56B66127A3B}" type="presOf" srcId="{F6C6C422-6858-4EA9-B9B2-DFCDD4BE870D}" destId="{2CBA912A-1A98-4569-811B-D059A098E39D}" srcOrd="0" destOrd="0" presId="urn:microsoft.com/office/officeart/2005/8/layout/chevron1"/>
    <dgm:cxn modelId="{78C92E44-C6EB-4D7D-808F-F60F668ED922}" type="presOf" srcId="{44C7ADFB-99EC-4A91-B0C3-FBCE6F6A9399}" destId="{2CBA912A-1A98-4569-811B-D059A098E39D}" srcOrd="0" destOrd="2" presId="urn:microsoft.com/office/officeart/2005/8/layout/chevron1"/>
    <dgm:cxn modelId="{029FBD47-6713-407E-A843-5B67BB92B16D}" type="presOf" srcId="{5301D29A-698F-42AD-8857-B4E4F6F17574}" destId="{38643A05-F394-48A1-8CC8-8434E9C2D48B}" srcOrd="0" destOrd="0" presId="urn:microsoft.com/office/officeart/2005/8/layout/chevron1"/>
    <dgm:cxn modelId="{B7F9CD69-8BE6-4BC5-8BFE-17CD3A9FC570}" srcId="{C9F0E981-DFF0-4F55-AA65-1839C331A0F6}" destId="{49846D8F-087A-4DA6-AA44-DB0A56E486E3}" srcOrd="0" destOrd="0" parTransId="{AFD5010E-560B-4B82-B119-3D555BFABBC7}" sibTransId="{1F855AEF-F8C2-4D7B-BCB1-EDAFA9AF9B9A}"/>
    <dgm:cxn modelId="{C9B55D54-E40C-4F31-A8BD-E1E2E9A830FE}" srcId="{C9F0E981-DFF0-4F55-AA65-1839C331A0F6}" destId="{28E21775-F50C-401F-A103-A49EF1095C0F}" srcOrd="2" destOrd="0" parTransId="{8C7F50F1-AC0E-42A6-9B39-C85492D213ED}" sibTransId="{F955E940-3E4B-48D4-B987-B9BC6E73B637}"/>
    <dgm:cxn modelId="{B2A4375A-F94E-4D9D-A5C2-F1ACBD88BA53}" srcId="{0A27651C-DCB5-425A-B77A-9FB41F76F27A}" destId="{095F1342-931D-4FB5-B72B-94DADD491DDF}" srcOrd="1" destOrd="0" parTransId="{40ABC3A6-E092-4B66-BF70-548D7B5B52AF}" sibTransId="{3A36E014-DD05-49F1-8073-614CFEC88743}"/>
    <dgm:cxn modelId="{553D597E-C416-48D5-AD2D-DCF97AEAEEE4}" srcId="{DA7C822A-0857-4047-9978-4C8F70EC2589}" destId="{4F07C7E3-4C3C-43F1-834C-35C0D3CA4E1A}" srcOrd="1" destOrd="0" parTransId="{5E0B4815-0D82-4231-BDA8-083C96B80B29}" sibTransId="{B7B10CF4-B5E9-47F5-80C2-4D6CC62009CE}"/>
    <dgm:cxn modelId="{55FF9592-2538-4D95-AC96-4E1E023FEBCF}" type="presOf" srcId="{6CF17ABB-557C-43B3-A5A7-CFB98CC4AE71}" destId="{3EEAA80A-6B53-4EF2-8698-0B55C96B3B71}" srcOrd="0" destOrd="0" presId="urn:microsoft.com/office/officeart/2005/8/layout/chevron1"/>
    <dgm:cxn modelId="{51DFD595-846B-4168-8D3E-26C6E7CC6D5E}" type="presOf" srcId="{D726F169-75E1-4537-8AFC-3DFCB556602E}" destId="{7C730F64-3DF9-48BB-A116-FD13B26AF425}" srcOrd="0" destOrd="4" presId="urn:microsoft.com/office/officeart/2005/8/layout/chevron1"/>
    <dgm:cxn modelId="{40C1AF9B-59F2-43F5-B45D-ACAF3190F79F}" srcId="{C9F0E981-DFF0-4F55-AA65-1839C331A0F6}" destId="{3E3C43EF-1CBB-4884-96E4-A883EA476037}" srcOrd="3" destOrd="0" parTransId="{015DF67B-F547-4899-ACB7-983E0D4134BE}" sibTransId="{96D66DF2-1C8A-4907-893F-D3D16BC85DEB}"/>
    <dgm:cxn modelId="{197C889C-EFC7-4FDF-98F7-F9FDEB2B2BC9}" type="presOf" srcId="{5D12ED09-F46D-4EDC-8622-1EABB7971C7A}" destId="{3EEAA80A-6B53-4EF2-8698-0B55C96B3B71}" srcOrd="0" destOrd="2" presId="urn:microsoft.com/office/officeart/2005/8/layout/chevron1"/>
    <dgm:cxn modelId="{68001C9D-2165-4576-8346-4324F27850AB}" type="presOf" srcId="{9FFEA17A-FE98-40E3-AC34-56C1E0FA5BFE}" destId="{2CBA912A-1A98-4569-811B-D059A098E39D}" srcOrd="0" destOrd="3" presId="urn:microsoft.com/office/officeart/2005/8/layout/chevron1"/>
    <dgm:cxn modelId="{7CB40CA0-8951-44E0-8B4F-77C99F7A2E9D}" srcId="{5301D29A-698F-42AD-8857-B4E4F6F17574}" destId="{E261A3F6-3F4B-4508-A375-4D7C0AADE4F8}" srcOrd="0" destOrd="0" parTransId="{13C6704A-01E1-4EC9-94A0-E1363EBC293C}" sibTransId="{B016A629-E7B2-40B6-A44F-012A7C26A7CC}"/>
    <dgm:cxn modelId="{C93EFDAA-4070-4619-B1DE-7DC3FD34E064}" type="presOf" srcId="{BEED2B98-EC70-4A68-ABD8-E35306A41FAB}" destId="{0EE12F3D-9033-48A0-81D7-FA9C7456DDBA}" srcOrd="0" destOrd="0" presId="urn:microsoft.com/office/officeart/2005/8/layout/chevron1"/>
    <dgm:cxn modelId="{1C6398AF-3428-4DCE-8B14-680D0B59DA7B}" type="presOf" srcId="{DA7C822A-0857-4047-9978-4C8F70EC2589}" destId="{63D0F147-0DDD-4F69-9F63-222EB3326421}" srcOrd="0" destOrd="0" presId="urn:microsoft.com/office/officeart/2005/8/layout/chevron1"/>
    <dgm:cxn modelId="{27E0CEB0-2C3B-46F5-B3EB-00564A18BFE5}" srcId="{0A27651C-DCB5-425A-B77A-9FB41F76F27A}" destId="{614D0DF6-B38A-41D5-8E53-4835ABE49FA9}" srcOrd="3" destOrd="0" parTransId="{912D95BE-9500-47DA-9DC8-1AA631677F9E}" sibTransId="{3B2B6E8B-1EE4-413A-8E2B-89FE3468E779}"/>
    <dgm:cxn modelId="{725443B3-43CC-48CB-9780-7EC9B5432D65}" type="presOf" srcId="{4B38C050-C6A4-4F15-99FB-C75604E7B388}" destId="{0EE12F3D-9033-48A0-81D7-FA9C7456DDBA}" srcOrd="0" destOrd="3" presId="urn:microsoft.com/office/officeart/2005/8/layout/chevron1"/>
    <dgm:cxn modelId="{5F08ACB7-6EEF-4A39-8190-AFEFDA8A12BC}" type="presOf" srcId="{3E3C43EF-1CBB-4884-96E4-A883EA476037}" destId="{7C730F64-3DF9-48BB-A116-FD13B26AF425}" srcOrd="0" destOrd="3" presId="urn:microsoft.com/office/officeart/2005/8/layout/chevron1"/>
    <dgm:cxn modelId="{534004BB-79E1-46FF-BD87-F431C99C9115}" srcId="{0A27651C-DCB5-425A-B77A-9FB41F76F27A}" destId="{5D12ED09-F46D-4EDC-8622-1EABB7971C7A}" srcOrd="2" destOrd="0" parTransId="{FF031177-4466-4CC2-A564-13E440DBB09D}" sibTransId="{7447E259-4451-480B-8E2B-68AF794814CC}"/>
    <dgm:cxn modelId="{2648B7BB-A221-47FE-98E1-2C22AAFCC58E}" srcId="{5301D29A-698F-42AD-8857-B4E4F6F17574}" destId="{C9F0E981-DFF0-4F55-AA65-1839C331A0F6}" srcOrd="1" destOrd="0" parTransId="{9D313D8F-6298-4D1F-B52D-16DE3B57F117}" sibTransId="{6D20437A-834C-41E0-9F7C-003C6D6612FF}"/>
    <dgm:cxn modelId="{AE1BD0BB-2CB7-49C7-B37A-98E4EBC0844A}" srcId="{DA7C822A-0857-4047-9978-4C8F70EC2589}" destId="{44C7ADFB-99EC-4A91-B0C3-FBCE6F6A9399}" srcOrd="2" destOrd="0" parTransId="{B24C1898-C150-462B-B449-2FA883B7E6F0}" sibTransId="{EBDBB846-2700-4652-B7D5-B584BD1E5FC4}"/>
    <dgm:cxn modelId="{8AB376BD-C454-4739-BCAC-8BD25CCAC0A1}" type="presOf" srcId="{28E21775-F50C-401F-A103-A49EF1095C0F}" destId="{7C730F64-3DF9-48BB-A116-FD13B26AF425}" srcOrd="0" destOrd="2" presId="urn:microsoft.com/office/officeart/2005/8/layout/chevron1"/>
    <dgm:cxn modelId="{4F6C4DCA-1FB2-47AF-8507-2BA30D840413}" type="presOf" srcId="{49846D8F-087A-4DA6-AA44-DB0A56E486E3}" destId="{7C730F64-3DF9-48BB-A116-FD13B26AF425}" srcOrd="0" destOrd="0" presId="urn:microsoft.com/office/officeart/2005/8/layout/chevron1"/>
    <dgm:cxn modelId="{D1C540D1-E13E-4A18-B269-A386FF97F37C}" type="presOf" srcId="{0A27651C-DCB5-425A-B77A-9FB41F76F27A}" destId="{FE1E6C16-86FD-4380-B379-6F65588EE5E0}" srcOrd="0" destOrd="0" presId="urn:microsoft.com/office/officeart/2005/8/layout/chevron1"/>
    <dgm:cxn modelId="{ACFBB6D8-C379-45D1-88BF-0C58B6025C3A}" srcId="{C9F0E981-DFF0-4F55-AA65-1839C331A0F6}" destId="{3A408F02-B436-4683-89F4-1DEABAF0B9EE}" srcOrd="5" destOrd="0" parTransId="{870CDFF8-1F09-4A66-90F3-AEA99EF06735}" sibTransId="{3DEB1C2F-A1FD-4484-BD0C-0EE54406F334}"/>
    <dgm:cxn modelId="{576FD9DC-498F-454F-9BB3-C4BF366EA111}" srcId="{DA7C822A-0857-4047-9978-4C8F70EC2589}" destId="{F6C6C422-6858-4EA9-B9B2-DFCDD4BE870D}" srcOrd="0" destOrd="0" parTransId="{C6C23FA9-1E68-4B4E-AF8C-DF51999284A7}" sibTransId="{B95E3DD6-5C44-4583-8F07-E4B6E28354F4}"/>
    <dgm:cxn modelId="{E479BEE2-A623-4E61-AA18-31F79B89080B}" type="presOf" srcId="{614D0DF6-B38A-41D5-8E53-4835ABE49FA9}" destId="{3EEAA80A-6B53-4EF2-8698-0B55C96B3B71}" srcOrd="0" destOrd="3" presId="urn:microsoft.com/office/officeart/2005/8/layout/chevron1"/>
    <dgm:cxn modelId="{032D0DE5-EC7E-4889-8CA4-18E42B803280}" srcId="{DA7C822A-0857-4047-9978-4C8F70EC2589}" destId="{9FFEA17A-FE98-40E3-AC34-56C1E0FA5BFE}" srcOrd="3" destOrd="0" parTransId="{C0FF7124-B93F-418E-AE30-62216AC37782}" sibTransId="{F9DB7FB4-98CF-4847-AF8D-C92650A2531C}"/>
    <dgm:cxn modelId="{EFE68EEA-55F8-4425-A2F5-F126BB9D2E4D}" srcId="{5301D29A-698F-42AD-8857-B4E4F6F17574}" destId="{DA7C822A-0857-4047-9978-4C8F70EC2589}" srcOrd="2" destOrd="0" parTransId="{2127902E-8B19-44EF-A14A-C18E835AFA51}" sibTransId="{DCB21A64-3437-47DA-A2B5-1A6CCA601948}"/>
    <dgm:cxn modelId="{91A9A2EA-B893-465F-B807-E0DDA45C0B27}" srcId="{5301D29A-698F-42AD-8857-B4E4F6F17574}" destId="{0A27651C-DCB5-425A-B77A-9FB41F76F27A}" srcOrd="3" destOrd="0" parTransId="{EA0E7800-ED6E-4081-822F-DE1D722962A2}" sibTransId="{65CCF650-3732-4BDE-BBF8-28706CA437DA}"/>
    <dgm:cxn modelId="{011B81EF-5C5B-4E8B-A56D-76192366BE59}" type="presOf" srcId="{487FD634-AF20-4F22-8E3E-6FF9B1E428D4}" destId="{0EE12F3D-9033-48A0-81D7-FA9C7456DDBA}" srcOrd="0" destOrd="2" presId="urn:microsoft.com/office/officeart/2005/8/layout/chevron1"/>
    <dgm:cxn modelId="{5309A8FC-AD08-404B-BC76-2FAC72D1A1DA}" srcId="{E261A3F6-3F4B-4508-A375-4D7C0AADE4F8}" destId="{4B38C050-C6A4-4F15-99FB-C75604E7B388}" srcOrd="3" destOrd="0" parTransId="{EEDBBD45-FB90-46D4-B078-C2E4F9DD1E01}" sibTransId="{A5B65B66-778C-4EC5-A048-59643A87A8B4}"/>
    <dgm:cxn modelId="{05CD03BD-57F4-4202-B5DA-B38AA4C8D8C4}" type="presParOf" srcId="{38643A05-F394-48A1-8CC8-8434E9C2D48B}" destId="{0725AB2E-2DD4-453C-B06C-D5C440C01FE7}" srcOrd="0" destOrd="0" presId="urn:microsoft.com/office/officeart/2005/8/layout/chevron1"/>
    <dgm:cxn modelId="{C7DE90CF-6048-4A3B-926F-A101038B7B5B}" type="presParOf" srcId="{0725AB2E-2DD4-453C-B06C-D5C440C01FE7}" destId="{45D25F56-BABD-4CF6-9D74-E41CD4EB48D9}" srcOrd="0" destOrd="0" presId="urn:microsoft.com/office/officeart/2005/8/layout/chevron1"/>
    <dgm:cxn modelId="{64D60CF4-259B-4787-969B-CF1DFC970DAB}" type="presParOf" srcId="{0725AB2E-2DD4-453C-B06C-D5C440C01FE7}" destId="{0EE12F3D-9033-48A0-81D7-FA9C7456DDBA}" srcOrd="1" destOrd="0" presId="urn:microsoft.com/office/officeart/2005/8/layout/chevron1"/>
    <dgm:cxn modelId="{60AD582C-F3FD-435C-8B4B-9A367E91D3B9}" type="presParOf" srcId="{38643A05-F394-48A1-8CC8-8434E9C2D48B}" destId="{38A084E8-B259-4BD9-945B-B91302C17949}" srcOrd="1" destOrd="0" presId="urn:microsoft.com/office/officeart/2005/8/layout/chevron1"/>
    <dgm:cxn modelId="{EAECCA54-C779-40BF-95B8-0ABDF2560254}" type="presParOf" srcId="{38643A05-F394-48A1-8CC8-8434E9C2D48B}" destId="{A43F82C3-B6DF-4904-9267-BB4C7226BE8C}" srcOrd="2" destOrd="0" presId="urn:microsoft.com/office/officeart/2005/8/layout/chevron1"/>
    <dgm:cxn modelId="{C28C656B-93F6-412E-90C8-37F0762ED507}" type="presParOf" srcId="{A43F82C3-B6DF-4904-9267-BB4C7226BE8C}" destId="{DB75901D-8D6C-4E3C-9C5E-A43BF026F58C}" srcOrd="0" destOrd="0" presId="urn:microsoft.com/office/officeart/2005/8/layout/chevron1"/>
    <dgm:cxn modelId="{2E8F75DF-6D0D-4C3E-B013-E3F272AC84B6}" type="presParOf" srcId="{A43F82C3-B6DF-4904-9267-BB4C7226BE8C}" destId="{7C730F64-3DF9-48BB-A116-FD13B26AF425}" srcOrd="1" destOrd="0" presId="urn:microsoft.com/office/officeart/2005/8/layout/chevron1"/>
    <dgm:cxn modelId="{50F4E6F5-52CF-4921-9039-2F350E052E01}" type="presParOf" srcId="{38643A05-F394-48A1-8CC8-8434E9C2D48B}" destId="{FDAB4FD7-4073-45D6-8076-937D7045BF44}" srcOrd="3" destOrd="0" presId="urn:microsoft.com/office/officeart/2005/8/layout/chevron1"/>
    <dgm:cxn modelId="{29D40A81-5457-4846-96E6-DA550D735464}" type="presParOf" srcId="{38643A05-F394-48A1-8CC8-8434E9C2D48B}" destId="{E6533DE1-2C00-4F75-AE01-CF33AF0B614B}" srcOrd="4" destOrd="0" presId="urn:microsoft.com/office/officeart/2005/8/layout/chevron1"/>
    <dgm:cxn modelId="{0A306EF1-4D45-4375-A5D9-A53A2C2102EC}" type="presParOf" srcId="{E6533DE1-2C00-4F75-AE01-CF33AF0B614B}" destId="{63D0F147-0DDD-4F69-9F63-222EB3326421}" srcOrd="0" destOrd="0" presId="urn:microsoft.com/office/officeart/2005/8/layout/chevron1"/>
    <dgm:cxn modelId="{9DB6BA68-08EB-4497-9A5F-E0B067C9BAA3}" type="presParOf" srcId="{E6533DE1-2C00-4F75-AE01-CF33AF0B614B}" destId="{2CBA912A-1A98-4569-811B-D059A098E39D}" srcOrd="1" destOrd="0" presId="urn:microsoft.com/office/officeart/2005/8/layout/chevron1"/>
    <dgm:cxn modelId="{501DE75B-A532-4381-9248-B5EC9C53F8D3}" type="presParOf" srcId="{38643A05-F394-48A1-8CC8-8434E9C2D48B}" destId="{5290B81C-A7CF-436A-9D94-BD113EF1EE75}" srcOrd="5" destOrd="0" presId="urn:microsoft.com/office/officeart/2005/8/layout/chevron1"/>
    <dgm:cxn modelId="{8535A08F-1646-4F46-AE7C-5F8DBE88246B}" type="presParOf" srcId="{38643A05-F394-48A1-8CC8-8434E9C2D48B}" destId="{4810F411-5B08-4B28-B32E-E1C0176AC5CC}" srcOrd="6" destOrd="0" presId="urn:microsoft.com/office/officeart/2005/8/layout/chevron1"/>
    <dgm:cxn modelId="{F7E2F6FE-ED58-4A12-B247-2B7DE77706FC}" type="presParOf" srcId="{4810F411-5B08-4B28-B32E-E1C0176AC5CC}" destId="{FE1E6C16-86FD-4380-B379-6F65588EE5E0}" srcOrd="0" destOrd="0" presId="urn:microsoft.com/office/officeart/2005/8/layout/chevron1"/>
    <dgm:cxn modelId="{2B8A82AF-5A11-4F9F-A96E-115F31815C14}" type="presParOf" srcId="{4810F411-5B08-4B28-B32E-E1C0176AC5CC}" destId="{3EEAA80A-6B53-4EF2-8698-0B55C96B3B71}" srcOrd="1" destOrd="0" presId="urn:microsoft.com/office/officeart/2005/8/layout/chevron1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45D25F56-BABD-4CF6-9D74-E41CD4EB48D9}">
      <dsp:nvSpPr>
        <dsp:cNvPr id="0" name=""/>
        <dsp:cNvSpPr/>
      </dsp:nvSpPr>
      <dsp:spPr>
        <a:xfrm>
          <a:off x="9135" y="13416"/>
          <a:ext cx="3381645" cy="1242000"/>
        </a:xfrm>
        <a:prstGeom prst="chevron">
          <a:avLst/>
        </a:prstGeom>
        <a:solidFill>
          <a:schemeClr val="accent1">
            <a:lumMod val="60000"/>
            <a:lumOff val="40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012" tIns="30671" rIns="30671" bIns="30671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2300" kern="1200"/>
            <a:t>Disturbances</a:t>
          </a:r>
        </a:p>
      </dsp:txBody>
      <dsp:txXfrm>
        <a:off x="630135" y="13416"/>
        <a:ext cx="2139645" cy="1242000"/>
      </dsp:txXfrm>
    </dsp:sp>
    <dsp:sp modelId="{0EE12F3D-9033-48A0-81D7-FA9C7456DDBA}">
      <dsp:nvSpPr>
        <dsp:cNvPr id="0" name=""/>
        <dsp:cNvSpPr/>
      </dsp:nvSpPr>
      <dsp:spPr>
        <a:xfrm>
          <a:off x="9135" y="1410666"/>
          <a:ext cx="2705316" cy="276215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0" tIns="0" rIns="0" bIns="0" numCol="1" spcCol="1270" anchor="t" anchorCtr="0">
          <a:noAutofit/>
        </a:bodyPr>
        <a:lstStyle/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Gravity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Solar pressure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Magnetic field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Atmosphere</a:t>
          </a:r>
        </a:p>
      </dsp:txBody>
      <dsp:txXfrm>
        <a:off x="9135" y="1410666"/>
        <a:ext cx="2705316" cy="2762156"/>
      </dsp:txXfrm>
    </dsp:sp>
    <dsp:sp modelId="{DB75901D-8D6C-4E3C-9C5E-A43BF026F58C}">
      <dsp:nvSpPr>
        <dsp:cNvPr id="0" name=""/>
        <dsp:cNvSpPr/>
      </dsp:nvSpPr>
      <dsp:spPr>
        <a:xfrm>
          <a:off x="3174780" y="13416"/>
          <a:ext cx="3381645" cy="1242000"/>
        </a:xfrm>
        <a:prstGeom prst="chevron">
          <a:avLst/>
        </a:prstGeom>
        <a:solidFill>
          <a:schemeClr val="accent6">
            <a:lumMod val="60000"/>
            <a:lumOff val="40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012" tIns="30671" rIns="30671" bIns="30671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2300" kern="1200"/>
            <a:t>Sizing</a:t>
          </a:r>
        </a:p>
      </dsp:txBody>
      <dsp:txXfrm>
        <a:off x="3795780" y="13416"/>
        <a:ext cx="2139645" cy="1242000"/>
      </dsp:txXfrm>
    </dsp:sp>
    <dsp:sp modelId="{7C730F64-3DF9-48BB-A116-FD13B26AF425}">
      <dsp:nvSpPr>
        <dsp:cNvPr id="0" name=""/>
        <dsp:cNvSpPr/>
      </dsp:nvSpPr>
      <dsp:spPr>
        <a:xfrm>
          <a:off x="3174780" y="1410666"/>
          <a:ext cx="2705316" cy="276215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0" tIns="0" rIns="0" bIns="0" numCol="1" spcCol="1270" anchor="t" anchorCtr="0">
          <a:noAutofit/>
        </a:bodyPr>
        <a:lstStyle/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Slewing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Compensate disturbances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Desaturation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Thrusters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...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s-ES" sz="2300" kern="1200"/>
        </a:p>
      </dsp:txBody>
      <dsp:txXfrm>
        <a:off x="3174780" y="1410666"/>
        <a:ext cx="2705316" cy="2762156"/>
      </dsp:txXfrm>
    </dsp:sp>
    <dsp:sp modelId="{63D0F147-0DDD-4F69-9F63-222EB3326421}">
      <dsp:nvSpPr>
        <dsp:cNvPr id="0" name=""/>
        <dsp:cNvSpPr/>
      </dsp:nvSpPr>
      <dsp:spPr>
        <a:xfrm>
          <a:off x="6340425" y="13416"/>
          <a:ext cx="3381645" cy="1242000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012" tIns="30671" rIns="30671" bIns="30671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2300" kern="1200"/>
            <a:t>Choose/Design actuators</a:t>
          </a:r>
        </a:p>
      </dsp:txBody>
      <dsp:txXfrm>
        <a:off x="6961425" y="13416"/>
        <a:ext cx="2139645" cy="1242000"/>
      </dsp:txXfrm>
    </dsp:sp>
    <dsp:sp modelId="{2CBA912A-1A98-4569-811B-D059A098E39D}">
      <dsp:nvSpPr>
        <dsp:cNvPr id="0" name=""/>
        <dsp:cNvSpPr/>
      </dsp:nvSpPr>
      <dsp:spPr>
        <a:xfrm>
          <a:off x="6340425" y="1410666"/>
          <a:ext cx="2705316" cy="276215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0" tIns="0" rIns="0" bIns="0" numCol="1" spcCol="1270" anchor="t" anchorCtr="0">
          <a:noAutofit/>
        </a:bodyPr>
        <a:lstStyle/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Reaction wheels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Magnetorquers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Momentum wheels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...</a:t>
          </a:r>
        </a:p>
      </dsp:txBody>
      <dsp:txXfrm>
        <a:off x="6340425" y="1410666"/>
        <a:ext cx="2705316" cy="2762156"/>
      </dsp:txXfrm>
    </dsp:sp>
    <dsp:sp modelId="{FE1E6C16-86FD-4380-B379-6F65588EE5E0}">
      <dsp:nvSpPr>
        <dsp:cNvPr id="0" name=""/>
        <dsp:cNvSpPr/>
      </dsp:nvSpPr>
      <dsp:spPr>
        <a:xfrm>
          <a:off x="9506071" y="13416"/>
          <a:ext cx="3381645" cy="1242000"/>
        </a:xfrm>
        <a:prstGeom prst="chevron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012" tIns="30671" rIns="30671" bIns="30671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2300" kern="1200"/>
            <a:t>Choose/Design sensors</a:t>
          </a:r>
        </a:p>
      </dsp:txBody>
      <dsp:txXfrm>
        <a:off x="10127071" y="13416"/>
        <a:ext cx="2139645" cy="1242000"/>
      </dsp:txXfrm>
    </dsp:sp>
    <dsp:sp modelId="{3EEAA80A-6B53-4EF2-8698-0B55C96B3B71}">
      <dsp:nvSpPr>
        <dsp:cNvPr id="0" name=""/>
        <dsp:cNvSpPr/>
      </dsp:nvSpPr>
      <dsp:spPr>
        <a:xfrm>
          <a:off x="9506071" y="1410666"/>
          <a:ext cx="2705316" cy="276215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0" tIns="0" rIns="0" bIns="0" numCol="1" spcCol="1270" anchor="t" anchorCtr="0">
          <a:noAutofit/>
        </a:bodyPr>
        <a:lstStyle/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Magnetometres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Star trackers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Gyroscopes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Earth sensors</a:t>
          </a:r>
        </a:p>
        <a:p>
          <a:pPr marL="228600" lvl="1" indent="-228600" algn="l" defTabSz="10223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ES" sz="2300" kern="1200"/>
            <a:t>...</a:t>
          </a:r>
        </a:p>
      </dsp:txBody>
      <dsp:txXfrm>
        <a:off x="9506071" y="1410666"/>
        <a:ext cx="2705316" cy="276215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hevron1">
  <dgm:title val=""/>
  <dgm:desc val=""/>
  <dgm:catLst>
    <dgm:cat type="process" pri="9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des" func="maxDepth" op="gte" val="2">
        <dgm:constrLst>
          <dgm:constr type="h" for="ch" forName="composite" refType="h"/>
          <dgm:constr type="w" for="ch" forName="composite" refType="w"/>
          <dgm:constr type="w" for="des" forName="parTx"/>
          <dgm:constr type="h" for="des" forName="parTx" op="equ"/>
          <dgm:constr type="w" for="des" forName="desTx"/>
          <dgm:constr type="h" for="des" forName="desTx" op="equ"/>
          <dgm:constr type="primFontSz" for="des" forName="parTx" val="65"/>
          <dgm:constr type="secFontSz" for="des" forName="desTx" refType="primFontSz" refFor="des" refForName="parTx" op="equ"/>
          <dgm:constr type="h" for="des" forName="parTx" refType="primFontSz" refFor="des" refForName="parTx" fact="1.5"/>
          <dgm:constr type="h" for="des" forName="desTx" refType="primFontSz" refFor="des" refForName="parTx" fact="0.5"/>
          <dgm:constr type="w" for="ch" forName="space" op="equ" val="-6"/>
        </dgm:constrLst>
        <dgm:ruleLst>
          <dgm:rule type="w" for="ch" forName="composite" val="0" fact="NaN" max="NaN"/>
          <dgm:rule type="primFontSz" for="des" forName="parTx" val="5" fact="NaN" max="NaN"/>
        </dgm:ruleLst>
        <dgm:forEach name="Name6" axis="ch" ptType="node"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hoose name="Name7">
              <dgm:if name="Name8" func="var" arg="dir" op="equ" val="norm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if>
              <dgm:else name="Name9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 refType="w" fact="0.2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else>
            </dgm:choose>
            <dgm:ruleLst>
              <dgm:rule type="h" val="INF" fact="NaN" max="NaN"/>
            </dgm:ruleLst>
            <dgm:layoutNode name="parTx">
              <dgm:varLst>
                <dgm:chMax val="0"/>
                <dgm:chPref val="0"/>
                <dgm:bulletEnabled val="1"/>
              </dgm:varLst>
              <dgm:alg type="tx"/>
              <dgm:choose name="Name10">
                <dgm:if name="Name11" func="var" arg="dir" op="equ" val="norm">
                  <dgm:shape xmlns:r="http://schemas.openxmlformats.org/officeDocument/2006/relationships" type="chevron" r:blip="">
                    <dgm:adjLst/>
                  </dgm:shape>
                </dgm:if>
                <dgm:else name="Name12">
                  <dgm:shape xmlns:r="http://schemas.openxmlformats.org/officeDocument/2006/relationships" rot="180" type="chevron" r:blip="">
                    <dgm:adjLst/>
                  </dgm:shape>
                </dgm:else>
              </dgm:choose>
              <dgm:presOf axis="self" ptType="node"/>
              <dgm:choose name="Name13">
                <dgm:if name="Name14" func="var" arg="dir" op="equ" val="norm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315"/>
                    <dgm:constr type="rMarg" refType="primFontSz" fact="0.105"/>
                  </dgm:constrLst>
                </dgm:if>
                <dgm:else name="Name15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105"/>
                    <dgm:constr type="rMarg" refType="primFontSz" fact="0.315"/>
                  </dgm:constrLst>
                </dgm:else>
              </dgm:choose>
              <dgm:ruleLst>
                <dgm:rule type="h" val="INF" fact="NaN" max="NaN"/>
              </dgm:ruleLst>
            </dgm:layoutNode>
            <dgm:layoutNode name="desTx" styleLbl="revTx">
              <dgm:varLst>
                <dgm:bulletEnabled val="1"/>
              </dgm:varLst>
              <dgm:alg type="tx">
                <dgm:param type="stBulletLvl" val="1"/>
              </dgm:alg>
              <dgm:choose name="Name16">
                <dgm:if name="Name17" axis="ch" ptType="node" func="cnt" op="gte" val="1">
                  <dgm:shape xmlns:r="http://schemas.openxmlformats.org/officeDocument/2006/relationships" type="rect" r:blip="">
                    <dgm:adjLst/>
                  </dgm:shape>
                </dgm:if>
                <dgm:else name="Name18">
                  <dgm:shape xmlns:r="http://schemas.openxmlformats.org/officeDocument/2006/relationships" type="rect" r:blip="" hideGeom="1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h"/>
                <dgm:constr type="tMarg"/>
                <dgm:constr type="bMarg"/>
                <dgm:constr type="rMarg"/>
                <dgm:constr type="lMarg"/>
              </dgm:constrLst>
              <dgm:ruleLst>
                <dgm:rule type="h" val="INF" fact="NaN" max="NaN"/>
              </dgm:ruleLst>
            </dgm:layoutNode>
          </dgm:layoutNode>
          <dgm:forEach name="Name19" axis="followSib" ptType="sibTrans" cnt="1">
            <dgm:layoutNode name="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20">
        <dgm:constrLst>
          <dgm:constr type="w" for="ch" forName="parTxOnly" refType="w"/>
          <dgm:constr type="h" for="des" forName="parTxOnly" op="equ"/>
          <dgm:constr type="primFontSz" for="des" forName="parTxOnly" op="equ" val="65"/>
          <dgm:constr type="w" for="ch" forName="parTxOnlySpace" refType="w" refFor="ch" refForName="parTxOnly" fact="-0.1"/>
        </dgm:constrLst>
        <dgm:ruleLst/>
        <dgm:forEach name="Name21" axis="ch" ptType="node">
          <dgm:layoutNode name="parTxOnly">
            <dgm:varLst>
              <dgm:chMax val="0"/>
              <dgm:chPref val="0"/>
              <dgm:bulletEnabled val="1"/>
            </dgm:varLst>
            <dgm:alg type="tx"/>
            <dgm:choose name="Name22">
              <dgm:if name="Name23" func="var" arg="dir" op="equ" val="norm">
                <dgm:shape xmlns:r="http://schemas.openxmlformats.org/officeDocument/2006/relationships" type="chevron" r:blip="">
                  <dgm:adjLst/>
                </dgm:shape>
              </dgm:if>
              <dgm:else name="Name24">
                <dgm:shape xmlns:r="http://schemas.openxmlformats.org/officeDocument/2006/relationships" rot="180" type="chevron" r:blip="">
                  <dgm:adjLst/>
                </dgm:shape>
              </dgm:else>
            </dgm:choose>
            <dgm:presOf axis="self" ptType="node"/>
            <dgm:choose name="Name25">
              <dgm:if name="Name26" func="var" arg="dir" op="equ" val="norm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315"/>
                  <dgm:constr type="rMarg" refType="primFontSz" fact="0.105"/>
                </dgm:constrLst>
              </dgm:if>
              <dgm:else name="Name27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105"/>
                  <dgm:constr type="rMarg" refType="primFontSz" fact="0.315"/>
                </dgm:constrLst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TxOnly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9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3" Type="http://schemas.openxmlformats.org/officeDocument/2006/relationships/image" Target="../media/image4.jpeg"/><Relationship Id="rId7" Type="http://schemas.openxmlformats.org/officeDocument/2006/relationships/diagramColors" Target="../diagrams/colors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diagramQuickStyle" Target="../diagrams/quickStyle1.xml"/><Relationship Id="rId5" Type="http://schemas.openxmlformats.org/officeDocument/2006/relationships/diagramLayout" Target="../diagrams/layout1.xml"/><Relationship Id="rId4" Type="http://schemas.openxmlformats.org/officeDocument/2006/relationships/diagramData" Target="../diagrams/data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3.jpeg"/><Relationship Id="rId2" Type="http://schemas.openxmlformats.org/officeDocument/2006/relationships/image" Target="../media/image52.png"/><Relationship Id="rId1" Type="http://schemas.openxmlformats.org/officeDocument/2006/relationships/image" Target="../media/image5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jpeg"/><Relationship Id="rId2" Type="http://schemas.openxmlformats.org/officeDocument/2006/relationships/image" Target="../media/image52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9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9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9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9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.jpeg"/><Relationship Id="rId2" Type="http://schemas.openxmlformats.org/officeDocument/2006/relationships/image" Target="../media/image55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18" Type="http://schemas.openxmlformats.org/officeDocument/2006/relationships/image" Target="../media/image22.emf"/><Relationship Id="rId3" Type="http://schemas.openxmlformats.org/officeDocument/2006/relationships/image" Target="../media/image7.emf"/><Relationship Id="rId21" Type="http://schemas.openxmlformats.org/officeDocument/2006/relationships/image" Target="../media/image25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17" Type="http://schemas.openxmlformats.org/officeDocument/2006/relationships/image" Target="../media/image21.emf"/><Relationship Id="rId2" Type="http://schemas.openxmlformats.org/officeDocument/2006/relationships/image" Target="../media/image6.emf"/><Relationship Id="rId16" Type="http://schemas.openxmlformats.org/officeDocument/2006/relationships/image" Target="../media/image20.emf"/><Relationship Id="rId20" Type="http://schemas.openxmlformats.org/officeDocument/2006/relationships/image" Target="../media/image24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5" Type="http://schemas.openxmlformats.org/officeDocument/2006/relationships/image" Target="../media/image19.emf"/><Relationship Id="rId10" Type="http://schemas.openxmlformats.org/officeDocument/2006/relationships/image" Target="../media/image14.emf"/><Relationship Id="rId19" Type="http://schemas.openxmlformats.org/officeDocument/2006/relationships/image" Target="../media/image23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Relationship Id="rId22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39.emf"/><Relationship Id="rId18" Type="http://schemas.openxmlformats.org/officeDocument/2006/relationships/image" Target="../media/image44.emf"/><Relationship Id="rId3" Type="http://schemas.openxmlformats.org/officeDocument/2006/relationships/image" Target="../media/image29.emf"/><Relationship Id="rId21" Type="http://schemas.openxmlformats.org/officeDocument/2006/relationships/image" Target="../media/image47.emf"/><Relationship Id="rId7" Type="http://schemas.openxmlformats.org/officeDocument/2006/relationships/image" Target="../media/image33.emf"/><Relationship Id="rId12" Type="http://schemas.openxmlformats.org/officeDocument/2006/relationships/image" Target="../media/image38.emf"/><Relationship Id="rId17" Type="http://schemas.openxmlformats.org/officeDocument/2006/relationships/image" Target="../media/image43.emf"/><Relationship Id="rId2" Type="http://schemas.openxmlformats.org/officeDocument/2006/relationships/image" Target="../media/image28.emf"/><Relationship Id="rId16" Type="http://schemas.openxmlformats.org/officeDocument/2006/relationships/image" Target="../media/image42.emf"/><Relationship Id="rId20" Type="http://schemas.openxmlformats.org/officeDocument/2006/relationships/image" Target="../media/image46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11" Type="http://schemas.openxmlformats.org/officeDocument/2006/relationships/image" Target="../media/image37.emf"/><Relationship Id="rId5" Type="http://schemas.openxmlformats.org/officeDocument/2006/relationships/image" Target="../media/image31.emf"/><Relationship Id="rId15" Type="http://schemas.openxmlformats.org/officeDocument/2006/relationships/image" Target="../media/image41.emf"/><Relationship Id="rId10" Type="http://schemas.openxmlformats.org/officeDocument/2006/relationships/image" Target="../media/image36.emf"/><Relationship Id="rId19" Type="http://schemas.openxmlformats.org/officeDocument/2006/relationships/image" Target="../media/image45.emf"/><Relationship Id="rId4" Type="http://schemas.openxmlformats.org/officeDocument/2006/relationships/image" Target="../media/image30.emf"/><Relationship Id="rId9" Type="http://schemas.openxmlformats.org/officeDocument/2006/relationships/image" Target="../media/image35.emf"/><Relationship Id="rId14" Type="http://schemas.openxmlformats.org/officeDocument/2006/relationships/image" Target="../media/image40.emf"/><Relationship Id="rId22" Type="http://schemas.openxmlformats.org/officeDocument/2006/relationships/image" Target="../media/image4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476250</xdr:colOff>
      <xdr:row>2</xdr:row>
      <xdr:rowOff>114299</xdr:rowOff>
    </xdr:from>
    <xdr:to>
      <xdr:col>25</xdr:col>
      <xdr:colOff>231895</xdr:colOff>
      <xdr:row>7</xdr:row>
      <xdr:rowOff>61799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97050" y="495299"/>
          <a:ext cx="1813045" cy="9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92850</xdr:colOff>
      <xdr:row>2</xdr:row>
      <xdr:rowOff>102374</xdr:rowOff>
    </xdr:from>
    <xdr:to>
      <xdr:col>4</xdr:col>
      <xdr:colOff>371250</xdr:colOff>
      <xdr:row>7</xdr:row>
      <xdr:rowOff>49874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1650" y="483374"/>
          <a:ext cx="1650000" cy="90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419100</xdr:colOff>
      <xdr:row>2</xdr:row>
      <xdr:rowOff>119025</xdr:rowOff>
    </xdr:from>
    <xdr:to>
      <xdr:col>22</xdr:col>
      <xdr:colOff>180223</xdr:colOff>
      <xdr:row>7</xdr:row>
      <xdr:rowOff>66525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500025"/>
          <a:ext cx="1132723" cy="9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220980</xdr:rowOff>
        </xdr:from>
        <xdr:to>
          <xdr:col>20</xdr:col>
          <xdr:colOff>381000</xdr:colOff>
          <xdr:row>12</xdr:row>
          <xdr:rowOff>7620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476250</xdr:colOff>
      <xdr:row>2</xdr:row>
      <xdr:rowOff>114299</xdr:rowOff>
    </xdr:from>
    <xdr:to>
      <xdr:col>25</xdr:col>
      <xdr:colOff>231895</xdr:colOff>
      <xdr:row>7</xdr:row>
      <xdr:rowOff>61799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97050" y="495299"/>
          <a:ext cx="1813045" cy="9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92850</xdr:colOff>
      <xdr:row>2</xdr:row>
      <xdr:rowOff>102374</xdr:rowOff>
    </xdr:from>
    <xdr:to>
      <xdr:col>4</xdr:col>
      <xdr:colOff>371250</xdr:colOff>
      <xdr:row>7</xdr:row>
      <xdr:rowOff>49874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1650" y="483374"/>
          <a:ext cx="1650000" cy="90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419100</xdr:colOff>
      <xdr:row>2</xdr:row>
      <xdr:rowOff>119025</xdr:rowOff>
    </xdr:from>
    <xdr:to>
      <xdr:col>22</xdr:col>
      <xdr:colOff>180223</xdr:colOff>
      <xdr:row>7</xdr:row>
      <xdr:rowOff>66525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0700" y="500025"/>
          <a:ext cx="1132723" cy="9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533400</xdr:colOff>
          <xdr:row>16</xdr:row>
          <xdr:rowOff>7620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388620</xdr:colOff>
          <xdr:row>9</xdr:row>
          <xdr:rowOff>160020</xdr:rowOff>
        </xdr:from>
        <xdr:to>
          <xdr:col>24</xdr:col>
          <xdr:colOff>670560</xdr:colOff>
          <xdr:row>11</xdr:row>
          <xdr:rowOff>38100</xdr:rowOff>
        </xdr:to>
        <xdr:sp macro="" textlink="">
          <xdr:nvSpPr>
            <xdr:cNvPr id="2072" name="CommandButton1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533400</xdr:colOff>
          <xdr:row>17</xdr:row>
          <xdr:rowOff>7620</xdr:rowOff>
        </xdr:to>
        <xdr:sp macro="" textlink="">
          <xdr:nvSpPr>
            <xdr:cNvPr id="2162" name="ComboBox2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533400</xdr:colOff>
          <xdr:row>18</xdr:row>
          <xdr:rowOff>7620</xdr:rowOff>
        </xdr:to>
        <xdr:sp macro="" textlink="">
          <xdr:nvSpPr>
            <xdr:cNvPr id="2163" name="ComboBox3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533400</xdr:colOff>
          <xdr:row>19</xdr:row>
          <xdr:rowOff>7620</xdr:rowOff>
        </xdr:to>
        <xdr:sp macro="" textlink="">
          <xdr:nvSpPr>
            <xdr:cNvPr id="2164" name="ComboBox4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533400</xdr:colOff>
          <xdr:row>20</xdr:row>
          <xdr:rowOff>7620</xdr:rowOff>
        </xdr:to>
        <xdr:sp macro="" textlink="">
          <xdr:nvSpPr>
            <xdr:cNvPr id="2165" name="ComboBox5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533400</xdr:colOff>
          <xdr:row>21</xdr:row>
          <xdr:rowOff>7620</xdr:rowOff>
        </xdr:to>
        <xdr:sp macro="" textlink="">
          <xdr:nvSpPr>
            <xdr:cNvPr id="2166" name="ComboBox6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533400</xdr:colOff>
          <xdr:row>22</xdr:row>
          <xdr:rowOff>7620</xdr:rowOff>
        </xdr:to>
        <xdr:sp macro="" textlink="">
          <xdr:nvSpPr>
            <xdr:cNvPr id="2167" name="ComboBox7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533400</xdr:colOff>
          <xdr:row>23</xdr:row>
          <xdr:rowOff>7620</xdr:rowOff>
        </xdr:to>
        <xdr:sp macro="" textlink="">
          <xdr:nvSpPr>
            <xdr:cNvPr id="2168" name="ComboBox8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533400</xdr:colOff>
          <xdr:row>24</xdr:row>
          <xdr:rowOff>7620</xdr:rowOff>
        </xdr:to>
        <xdr:sp macro="" textlink="">
          <xdr:nvSpPr>
            <xdr:cNvPr id="2169" name="ComboBox9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533400</xdr:colOff>
          <xdr:row>25</xdr:row>
          <xdr:rowOff>7620</xdr:rowOff>
        </xdr:to>
        <xdr:sp macro="" textlink="">
          <xdr:nvSpPr>
            <xdr:cNvPr id="2170" name="ComboBox10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533400</xdr:colOff>
          <xdr:row>26</xdr:row>
          <xdr:rowOff>7620</xdr:rowOff>
        </xdr:to>
        <xdr:sp macro="" textlink="">
          <xdr:nvSpPr>
            <xdr:cNvPr id="2171" name="ComboBox11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533400</xdr:colOff>
          <xdr:row>27</xdr:row>
          <xdr:rowOff>7620</xdr:rowOff>
        </xdr:to>
        <xdr:sp macro="" textlink="">
          <xdr:nvSpPr>
            <xdr:cNvPr id="2172" name="ComboBox12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533400</xdr:colOff>
          <xdr:row>28</xdr:row>
          <xdr:rowOff>7620</xdr:rowOff>
        </xdr:to>
        <xdr:sp macro="" textlink="">
          <xdr:nvSpPr>
            <xdr:cNvPr id="2173" name="ComboBox1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533400</xdr:colOff>
          <xdr:row>29</xdr:row>
          <xdr:rowOff>7620</xdr:rowOff>
        </xdr:to>
        <xdr:sp macro="" textlink="">
          <xdr:nvSpPr>
            <xdr:cNvPr id="2174" name="ComboBox1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533400</xdr:colOff>
          <xdr:row>30</xdr:row>
          <xdr:rowOff>7620</xdr:rowOff>
        </xdr:to>
        <xdr:sp macro="" textlink="">
          <xdr:nvSpPr>
            <xdr:cNvPr id="2175" name="ComboBox15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533400</xdr:colOff>
          <xdr:row>31</xdr:row>
          <xdr:rowOff>7620</xdr:rowOff>
        </xdr:to>
        <xdr:sp macro="" textlink="">
          <xdr:nvSpPr>
            <xdr:cNvPr id="2176" name="ComboBox16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533400</xdr:colOff>
          <xdr:row>32</xdr:row>
          <xdr:rowOff>7620</xdr:rowOff>
        </xdr:to>
        <xdr:sp macro="" textlink="">
          <xdr:nvSpPr>
            <xdr:cNvPr id="2177" name="ComboBox17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533400</xdr:colOff>
          <xdr:row>33</xdr:row>
          <xdr:rowOff>7620</xdr:rowOff>
        </xdr:to>
        <xdr:sp macro="" textlink="">
          <xdr:nvSpPr>
            <xdr:cNvPr id="2178" name="ComboBox18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533400</xdr:colOff>
          <xdr:row>34</xdr:row>
          <xdr:rowOff>7620</xdr:rowOff>
        </xdr:to>
        <xdr:sp macro="" textlink="">
          <xdr:nvSpPr>
            <xdr:cNvPr id="2179" name="ComboBox19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533400</xdr:colOff>
          <xdr:row>35</xdr:row>
          <xdr:rowOff>7620</xdr:rowOff>
        </xdr:to>
        <xdr:sp macro="" textlink="">
          <xdr:nvSpPr>
            <xdr:cNvPr id="2180" name="ComboBox20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533400</xdr:colOff>
          <xdr:row>36</xdr:row>
          <xdr:rowOff>7620</xdr:rowOff>
        </xdr:to>
        <xdr:sp macro="" textlink="">
          <xdr:nvSpPr>
            <xdr:cNvPr id="2181" name="ComboBox21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476250</xdr:colOff>
      <xdr:row>2</xdr:row>
      <xdr:rowOff>114299</xdr:rowOff>
    </xdr:from>
    <xdr:to>
      <xdr:col>25</xdr:col>
      <xdr:colOff>460495</xdr:colOff>
      <xdr:row>7</xdr:row>
      <xdr:rowOff>61799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7450" y="495299"/>
          <a:ext cx="1813045" cy="9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92850</xdr:colOff>
      <xdr:row>2</xdr:row>
      <xdr:rowOff>102374</xdr:rowOff>
    </xdr:from>
    <xdr:to>
      <xdr:col>4</xdr:col>
      <xdr:colOff>523650</xdr:colOff>
      <xdr:row>7</xdr:row>
      <xdr:rowOff>49874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2050" y="483374"/>
          <a:ext cx="1650000" cy="90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419100</xdr:colOff>
      <xdr:row>2</xdr:row>
      <xdr:rowOff>119025</xdr:rowOff>
    </xdr:from>
    <xdr:to>
      <xdr:col>22</xdr:col>
      <xdr:colOff>332623</xdr:colOff>
      <xdr:row>7</xdr:row>
      <xdr:rowOff>66525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500025"/>
          <a:ext cx="1132723" cy="9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7620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7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388620</xdr:colOff>
          <xdr:row>9</xdr:row>
          <xdr:rowOff>160020</xdr:rowOff>
        </xdr:from>
        <xdr:to>
          <xdr:col>25</xdr:col>
          <xdr:colOff>289560</xdr:colOff>
          <xdr:row>11</xdr:row>
          <xdr:rowOff>38100</xdr:rowOff>
        </xdr:to>
        <xdr:sp macro="" textlink="">
          <xdr:nvSpPr>
            <xdr:cNvPr id="37890" name="CommandButton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7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7620</xdr:rowOff>
        </xdr:to>
        <xdr:sp macro="" textlink="">
          <xdr:nvSpPr>
            <xdr:cNvPr id="37911" name="ComboBox2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7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7620</xdr:rowOff>
        </xdr:to>
        <xdr:sp macro="" textlink="">
          <xdr:nvSpPr>
            <xdr:cNvPr id="37912" name="ComboBox3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7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7620</xdr:rowOff>
        </xdr:to>
        <xdr:sp macro="" textlink="">
          <xdr:nvSpPr>
            <xdr:cNvPr id="37913" name="ComboBox4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7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11</xdr:col>
          <xdr:colOff>0</xdr:colOff>
          <xdr:row>20</xdr:row>
          <xdr:rowOff>7620</xdr:rowOff>
        </xdr:to>
        <xdr:sp macro="" textlink="">
          <xdr:nvSpPr>
            <xdr:cNvPr id="37914" name="ComboBox5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7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11</xdr:col>
          <xdr:colOff>0</xdr:colOff>
          <xdr:row>21</xdr:row>
          <xdr:rowOff>7620</xdr:rowOff>
        </xdr:to>
        <xdr:sp macro="" textlink="">
          <xdr:nvSpPr>
            <xdr:cNvPr id="37915" name="ComboBox6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7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11</xdr:col>
          <xdr:colOff>0</xdr:colOff>
          <xdr:row>22</xdr:row>
          <xdr:rowOff>7620</xdr:rowOff>
        </xdr:to>
        <xdr:sp macro="" textlink="">
          <xdr:nvSpPr>
            <xdr:cNvPr id="37916" name="ComboBox7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7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11</xdr:col>
          <xdr:colOff>0</xdr:colOff>
          <xdr:row>23</xdr:row>
          <xdr:rowOff>7620</xdr:rowOff>
        </xdr:to>
        <xdr:sp macro="" textlink="">
          <xdr:nvSpPr>
            <xdr:cNvPr id="37917" name="ComboBox8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7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11</xdr:col>
          <xdr:colOff>0</xdr:colOff>
          <xdr:row>24</xdr:row>
          <xdr:rowOff>7620</xdr:rowOff>
        </xdr:to>
        <xdr:sp macro="" textlink="">
          <xdr:nvSpPr>
            <xdr:cNvPr id="37918" name="ComboBox9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7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11</xdr:col>
          <xdr:colOff>0</xdr:colOff>
          <xdr:row>25</xdr:row>
          <xdr:rowOff>7620</xdr:rowOff>
        </xdr:to>
        <xdr:sp macro="" textlink="">
          <xdr:nvSpPr>
            <xdr:cNvPr id="37919" name="ComboBox10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7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11</xdr:col>
          <xdr:colOff>0</xdr:colOff>
          <xdr:row>26</xdr:row>
          <xdr:rowOff>7620</xdr:rowOff>
        </xdr:to>
        <xdr:sp macro="" textlink="">
          <xdr:nvSpPr>
            <xdr:cNvPr id="37920" name="ComboBox11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7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11</xdr:col>
          <xdr:colOff>0</xdr:colOff>
          <xdr:row>27</xdr:row>
          <xdr:rowOff>7620</xdr:rowOff>
        </xdr:to>
        <xdr:sp macro="" textlink="">
          <xdr:nvSpPr>
            <xdr:cNvPr id="37921" name="ComboBox12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7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11</xdr:col>
          <xdr:colOff>0</xdr:colOff>
          <xdr:row>28</xdr:row>
          <xdr:rowOff>7620</xdr:rowOff>
        </xdr:to>
        <xdr:sp macro="" textlink="">
          <xdr:nvSpPr>
            <xdr:cNvPr id="37922" name="ComboBox13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7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11</xdr:col>
          <xdr:colOff>0</xdr:colOff>
          <xdr:row>29</xdr:row>
          <xdr:rowOff>7620</xdr:rowOff>
        </xdr:to>
        <xdr:sp macro="" textlink="">
          <xdr:nvSpPr>
            <xdr:cNvPr id="37923" name="ComboBox14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7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11</xdr:col>
          <xdr:colOff>0</xdr:colOff>
          <xdr:row>30</xdr:row>
          <xdr:rowOff>7620</xdr:rowOff>
        </xdr:to>
        <xdr:sp macro="" textlink="">
          <xdr:nvSpPr>
            <xdr:cNvPr id="37924" name="ComboBox15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7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11</xdr:col>
          <xdr:colOff>0</xdr:colOff>
          <xdr:row>31</xdr:row>
          <xdr:rowOff>7620</xdr:rowOff>
        </xdr:to>
        <xdr:sp macro="" textlink="">
          <xdr:nvSpPr>
            <xdr:cNvPr id="37925" name="ComboBox16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7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11</xdr:col>
          <xdr:colOff>0</xdr:colOff>
          <xdr:row>32</xdr:row>
          <xdr:rowOff>7620</xdr:rowOff>
        </xdr:to>
        <xdr:sp macro="" textlink="">
          <xdr:nvSpPr>
            <xdr:cNvPr id="37926" name="ComboBox17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7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11</xdr:col>
          <xdr:colOff>0</xdr:colOff>
          <xdr:row>33</xdr:row>
          <xdr:rowOff>7620</xdr:rowOff>
        </xdr:to>
        <xdr:sp macro="" textlink="">
          <xdr:nvSpPr>
            <xdr:cNvPr id="37927" name="ComboBox18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7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11</xdr:col>
          <xdr:colOff>0</xdr:colOff>
          <xdr:row>34</xdr:row>
          <xdr:rowOff>7620</xdr:rowOff>
        </xdr:to>
        <xdr:sp macro="" textlink="">
          <xdr:nvSpPr>
            <xdr:cNvPr id="37928" name="ComboBox19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7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11</xdr:col>
          <xdr:colOff>0</xdr:colOff>
          <xdr:row>35</xdr:row>
          <xdr:rowOff>7620</xdr:rowOff>
        </xdr:to>
        <xdr:sp macro="" textlink="">
          <xdr:nvSpPr>
            <xdr:cNvPr id="37929" name="ComboBox20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7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11</xdr:col>
          <xdr:colOff>0</xdr:colOff>
          <xdr:row>36</xdr:row>
          <xdr:rowOff>7620</xdr:rowOff>
        </xdr:to>
        <xdr:sp macro="" textlink="">
          <xdr:nvSpPr>
            <xdr:cNvPr id="37930" name="ComboBox21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7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476250</xdr:colOff>
      <xdr:row>2</xdr:row>
      <xdr:rowOff>114299</xdr:rowOff>
    </xdr:from>
    <xdr:to>
      <xdr:col>25</xdr:col>
      <xdr:colOff>231895</xdr:colOff>
      <xdr:row>7</xdr:row>
      <xdr:rowOff>61799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7450" y="495299"/>
          <a:ext cx="1813045" cy="9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92850</xdr:colOff>
      <xdr:row>2</xdr:row>
      <xdr:rowOff>102374</xdr:rowOff>
    </xdr:from>
    <xdr:to>
      <xdr:col>4</xdr:col>
      <xdr:colOff>371250</xdr:colOff>
      <xdr:row>7</xdr:row>
      <xdr:rowOff>49874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2050" y="483374"/>
          <a:ext cx="1650000" cy="90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419100</xdr:colOff>
      <xdr:row>2</xdr:row>
      <xdr:rowOff>119025</xdr:rowOff>
    </xdr:from>
    <xdr:to>
      <xdr:col>22</xdr:col>
      <xdr:colOff>180223</xdr:colOff>
      <xdr:row>7</xdr:row>
      <xdr:rowOff>66525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500025"/>
          <a:ext cx="1132723" cy="9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388620</xdr:colOff>
          <xdr:row>9</xdr:row>
          <xdr:rowOff>160020</xdr:rowOff>
        </xdr:from>
        <xdr:to>
          <xdr:col>24</xdr:col>
          <xdr:colOff>670560</xdr:colOff>
          <xdr:row>11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476250</xdr:colOff>
      <xdr:row>2</xdr:row>
      <xdr:rowOff>123824</xdr:rowOff>
    </xdr:from>
    <xdr:to>
      <xdr:col>25</xdr:col>
      <xdr:colOff>231895</xdr:colOff>
      <xdr:row>7</xdr:row>
      <xdr:rowOff>71324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7450" y="504824"/>
          <a:ext cx="1813045" cy="9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92850</xdr:colOff>
      <xdr:row>2</xdr:row>
      <xdr:rowOff>102374</xdr:rowOff>
    </xdr:from>
    <xdr:to>
      <xdr:col>4</xdr:col>
      <xdr:colOff>371250</xdr:colOff>
      <xdr:row>7</xdr:row>
      <xdr:rowOff>49874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2050" y="483374"/>
          <a:ext cx="1650000" cy="90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419100</xdr:colOff>
      <xdr:row>2</xdr:row>
      <xdr:rowOff>119025</xdr:rowOff>
    </xdr:from>
    <xdr:to>
      <xdr:col>22</xdr:col>
      <xdr:colOff>180223</xdr:colOff>
      <xdr:row>7</xdr:row>
      <xdr:rowOff>66525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500025"/>
          <a:ext cx="1132723" cy="900000"/>
        </a:xfrm>
        <a:prstGeom prst="rect">
          <a:avLst/>
        </a:prstGeom>
      </xdr:spPr>
    </xdr:pic>
    <xdr:clientData/>
  </xdr:twoCellAnchor>
  <xdr:twoCellAnchor>
    <xdr:from>
      <xdr:col>4</xdr:col>
      <xdr:colOff>333374</xdr:colOff>
      <xdr:row>10</xdr:row>
      <xdr:rowOff>176210</xdr:rowOff>
    </xdr:from>
    <xdr:to>
      <xdr:col>23</xdr:col>
      <xdr:colOff>200026</xdr:colOff>
      <xdr:row>29</xdr:row>
      <xdr:rowOff>19050</xdr:rowOff>
    </xdr:to>
    <xdr:graphicFrame macro="">
      <xdr:nvGraphicFramePr>
        <xdr:cNvPr id="5" name="Diagrama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4" r:lo="rId5" r:qs="rId6" r:cs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459940</xdr:colOff>
      <xdr:row>3</xdr:row>
      <xdr:rowOff>14250</xdr:rowOff>
    </xdr:from>
    <xdr:to>
      <xdr:col>15</xdr:col>
      <xdr:colOff>489070</xdr:colOff>
      <xdr:row>6</xdr:row>
      <xdr:rowOff>138076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5340" y="585750"/>
          <a:ext cx="1400730" cy="695326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3</xdr:row>
      <xdr:rowOff>14250</xdr:rowOff>
    </xdr:from>
    <xdr:to>
      <xdr:col>4</xdr:col>
      <xdr:colOff>64125</xdr:colOff>
      <xdr:row>6</xdr:row>
      <xdr:rowOff>137550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3525" y="585750"/>
          <a:ext cx="1273800" cy="694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271467</xdr:colOff>
      <xdr:row>3</xdr:row>
      <xdr:rowOff>14250</xdr:rowOff>
    </xdr:from>
    <xdr:to>
      <xdr:col>13</xdr:col>
      <xdr:colOff>460130</xdr:colOff>
      <xdr:row>6</xdr:row>
      <xdr:rowOff>137550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1067" y="585750"/>
          <a:ext cx="874463" cy="694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2</xdr:row>
      <xdr:rowOff>142874</xdr:rowOff>
    </xdr:from>
    <xdr:to>
      <xdr:col>21</xdr:col>
      <xdr:colOff>565270</xdr:colOff>
      <xdr:row>7</xdr:row>
      <xdr:rowOff>90374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82600" y="523874"/>
          <a:ext cx="1813045" cy="9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111900</xdr:colOff>
      <xdr:row>2</xdr:row>
      <xdr:rowOff>121424</xdr:rowOff>
    </xdr:from>
    <xdr:to>
      <xdr:col>4</xdr:col>
      <xdr:colOff>390300</xdr:colOff>
      <xdr:row>7</xdr:row>
      <xdr:rowOff>68924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500" y="502424"/>
          <a:ext cx="1650000" cy="90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238125</xdr:colOff>
      <xdr:row>2</xdr:row>
      <xdr:rowOff>138075</xdr:rowOff>
    </xdr:from>
    <xdr:to>
      <xdr:col>18</xdr:col>
      <xdr:colOff>685048</xdr:colOff>
      <xdr:row>7</xdr:row>
      <xdr:rowOff>85575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25300" y="519075"/>
          <a:ext cx="1132723" cy="90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2</xdr:row>
      <xdr:rowOff>123824</xdr:rowOff>
    </xdr:from>
    <xdr:to>
      <xdr:col>20</xdr:col>
      <xdr:colOff>579393</xdr:colOff>
      <xdr:row>7</xdr:row>
      <xdr:rowOff>71324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04824"/>
          <a:ext cx="1817643" cy="9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121425</xdr:colOff>
      <xdr:row>2</xdr:row>
      <xdr:rowOff>121424</xdr:rowOff>
    </xdr:from>
    <xdr:to>
      <xdr:col>4</xdr:col>
      <xdr:colOff>403438</xdr:colOff>
      <xdr:row>7</xdr:row>
      <xdr:rowOff>68924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025" y="502424"/>
          <a:ext cx="1653613" cy="90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247650</xdr:colOff>
      <xdr:row>2</xdr:row>
      <xdr:rowOff>138075</xdr:rowOff>
    </xdr:from>
    <xdr:to>
      <xdr:col>18</xdr:col>
      <xdr:colOff>12386</xdr:colOff>
      <xdr:row>7</xdr:row>
      <xdr:rowOff>85575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6250" y="519075"/>
          <a:ext cx="1136336" cy="900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135750</xdr:colOff>
      <xdr:row>2</xdr:row>
      <xdr:rowOff>145275</xdr:rowOff>
    </xdr:from>
    <xdr:to>
      <xdr:col>19</xdr:col>
      <xdr:colOff>577195</xdr:colOff>
      <xdr:row>7</xdr:row>
      <xdr:rowOff>54675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1975" y="602475"/>
          <a:ext cx="1813045" cy="9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114300</xdr:colOff>
      <xdr:row>2</xdr:row>
      <xdr:rowOff>123825</xdr:rowOff>
    </xdr:from>
    <xdr:to>
      <xdr:col>4</xdr:col>
      <xdr:colOff>392700</xdr:colOff>
      <xdr:row>7</xdr:row>
      <xdr:rowOff>33225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581025"/>
          <a:ext cx="1650000" cy="90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259575</xdr:colOff>
      <xdr:row>2</xdr:row>
      <xdr:rowOff>140476</xdr:rowOff>
    </xdr:from>
    <xdr:to>
      <xdr:col>17</xdr:col>
      <xdr:colOff>20698</xdr:colOff>
      <xdr:row>7</xdr:row>
      <xdr:rowOff>49876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94200" y="597676"/>
          <a:ext cx="1132723" cy="900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25</xdr:row>
      <xdr:rowOff>0</xdr:rowOff>
    </xdr:from>
    <xdr:to>
      <xdr:col>3</xdr:col>
      <xdr:colOff>452437</xdr:colOff>
      <xdr:row>26</xdr:row>
      <xdr:rowOff>209550</xdr:rowOff>
    </xdr:to>
    <xdr:sp macro="[0]!OpenGUI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5524500"/>
          <a:ext cx="1138237" cy="438150"/>
        </a:xfrm>
        <a:prstGeom prst="roundRect">
          <a:avLst>
            <a:gd name="adj" fmla="val 0"/>
          </a:avLst>
        </a:prstGeom>
        <a:solidFill>
          <a:srgbClr val="00CC99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/>
            <a:t>Run GUI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109538</xdr:colOff>
      <xdr:row>2</xdr:row>
      <xdr:rowOff>123824</xdr:rowOff>
    </xdr:from>
    <xdr:to>
      <xdr:col>19</xdr:col>
      <xdr:colOff>550983</xdr:colOff>
      <xdr:row>7</xdr:row>
      <xdr:rowOff>71324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8138" y="504824"/>
          <a:ext cx="1813045" cy="9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111900</xdr:colOff>
      <xdr:row>2</xdr:row>
      <xdr:rowOff>102374</xdr:rowOff>
    </xdr:from>
    <xdr:to>
      <xdr:col>4</xdr:col>
      <xdr:colOff>390300</xdr:colOff>
      <xdr:row>7</xdr:row>
      <xdr:rowOff>49874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500" y="483374"/>
          <a:ext cx="1650000" cy="90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233363</xdr:colOff>
      <xdr:row>2</xdr:row>
      <xdr:rowOff>119025</xdr:rowOff>
    </xdr:from>
    <xdr:to>
      <xdr:col>16</xdr:col>
      <xdr:colOff>680286</xdr:colOff>
      <xdr:row>7</xdr:row>
      <xdr:rowOff>66525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20363" y="500025"/>
          <a:ext cx="1132723" cy="900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37</xdr:row>
      <xdr:rowOff>0</xdr:rowOff>
    </xdr:from>
    <xdr:to>
      <xdr:col>3</xdr:col>
      <xdr:colOff>452437</xdr:colOff>
      <xdr:row>38</xdr:row>
      <xdr:rowOff>209550</xdr:rowOff>
    </xdr:to>
    <xdr:sp macro="[0]!OpenGUI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371600" y="5524500"/>
          <a:ext cx="1138237" cy="438150"/>
        </a:xfrm>
        <a:prstGeom prst="roundRect">
          <a:avLst>
            <a:gd name="adj" fmla="val 0"/>
          </a:avLst>
        </a:prstGeom>
        <a:solidFill>
          <a:srgbClr val="00CC99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/>
            <a:t>Run GUI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50025</xdr:colOff>
      <xdr:row>2</xdr:row>
      <xdr:rowOff>116700</xdr:rowOff>
    </xdr:from>
    <xdr:to>
      <xdr:col>21</xdr:col>
      <xdr:colOff>491470</xdr:colOff>
      <xdr:row>7</xdr:row>
      <xdr:rowOff>64200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85000" y="497700"/>
          <a:ext cx="1813045" cy="9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95250</xdr:rowOff>
    </xdr:from>
    <xdr:to>
      <xdr:col>4</xdr:col>
      <xdr:colOff>430800</xdr:colOff>
      <xdr:row>7</xdr:row>
      <xdr:rowOff>42750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0" y="476250"/>
          <a:ext cx="1650000" cy="90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173850</xdr:colOff>
      <xdr:row>2</xdr:row>
      <xdr:rowOff>111901</xdr:rowOff>
    </xdr:from>
    <xdr:to>
      <xdr:col>18</xdr:col>
      <xdr:colOff>620773</xdr:colOff>
      <xdr:row>7</xdr:row>
      <xdr:rowOff>59401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7225" y="492901"/>
          <a:ext cx="1132723" cy="900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95250</xdr:colOff>
      <xdr:row>2</xdr:row>
      <xdr:rowOff>114299</xdr:rowOff>
    </xdr:from>
    <xdr:to>
      <xdr:col>21</xdr:col>
      <xdr:colOff>536695</xdr:colOff>
      <xdr:row>7</xdr:row>
      <xdr:rowOff>61799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7850" y="495299"/>
          <a:ext cx="1813045" cy="9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111900</xdr:colOff>
      <xdr:row>2</xdr:row>
      <xdr:rowOff>102374</xdr:rowOff>
    </xdr:from>
    <xdr:to>
      <xdr:col>4</xdr:col>
      <xdr:colOff>390300</xdr:colOff>
      <xdr:row>7</xdr:row>
      <xdr:rowOff>49874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500" y="483374"/>
          <a:ext cx="1650000" cy="90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180975</xdr:colOff>
      <xdr:row>2</xdr:row>
      <xdr:rowOff>119025</xdr:rowOff>
    </xdr:from>
    <xdr:to>
      <xdr:col>18</xdr:col>
      <xdr:colOff>627898</xdr:colOff>
      <xdr:row>7</xdr:row>
      <xdr:rowOff>66525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91975" y="500025"/>
          <a:ext cx="1132723" cy="9000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654825</xdr:colOff>
      <xdr:row>1</xdr:row>
      <xdr:rowOff>152399</xdr:rowOff>
    </xdr:from>
    <xdr:to>
      <xdr:col>20</xdr:col>
      <xdr:colOff>21734</xdr:colOff>
      <xdr:row>5</xdr:row>
      <xdr:rowOff>118948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10257930" y="342899"/>
          <a:ext cx="3475994" cy="730454"/>
          <a:chOff x="10256025" y="371474"/>
          <a:chExt cx="3481709" cy="728549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6025" y="435749"/>
            <a:ext cx="1088250" cy="593591"/>
          </a:xfrm>
          <a:prstGeom prst="rect">
            <a:avLst/>
          </a:prstGeom>
        </xdr:spPr>
      </xdr:pic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GrpSpPr/>
        </xdr:nvGrpSpPr>
        <xdr:grpSpPr>
          <a:xfrm>
            <a:off x="11591926" y="371474"/>
            <a:ext cx="2145808" cy="728549"/>
            <a:chOff x="11591926" y="371474"/>
            <a:chExt cx="2145808" cy="728549"/>
          </a:xfrm>
        </xdr:grpSpPr>
        <xdr:pic>
          <xdr:nvPicPr>
            <xdr:cNvPr id="5" name="Imagen 4">
              <a:extLst>
                <a:ext uri="{FF2B5EF4-FFF2-40B4-BE49-F238E27FC236}">
                  <a16:creationId xmlns:a16="http://schemas.microsoft.com/office/drawing/2014/main" id="{00000000-0008-0000-1300-000005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982" r="8061"/>
            <a:stretch/>
          </xdr:blipFill>
          <xdr:spPr>
            <a:xfrm>
              <a:off x="12534900" y="371474"/>
              <a:ext cx="1202834" cy="728549"/>
            </a:xfrm>
            <a:prstGeom prst="rect">
              <a:avLst/>
            </a:prstGeom>
          </xdr:spPr>
        </xdr:pic>
        <xdr:pic>
          <xdr:nvPicPr>
            <xdr:cNvPr id="6" name="Imagen 5">
              <a:extLst>
                <a:ext uri="{FF2B5EF4-FFF2-40B4-BE49-F238E27FC236}">
                  <a16:creationId xmlns:a16="http://schemas.microsoft.com/office/drawing/2014/main" id="{00000000-0008-0000-13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591926" y="442876"/>
              <a:ext cx="742950" cy="590308"/>
            </a:xfrm>
            <a:prstGeom prst="rect">
              <a:avLst/>
            </a:prstGeom>
          </xdr:spPr>
        </xdr:pic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Modulo_COM/Modulo%20Comunicaciones%20%20CDF.xlsm?A2F88E13" TargetMode="External"/><Relationship Id="rId1" Type="http://schemas.openxmlformats.org/officeDocument/2006/relationships/externalLinkPath" Target="file:///\\A2F88E13\Modulo%20Comunicaciones%20%20CD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istration and Change Log"/>
      <sheetName val="Parameters"/>
      <sheetName val="Inputs"/>
      <sheetName val="Outputs"/>
      <sheetName val="Theorical Information"/>
      <sheetName val="Preliminary Link Design"/>
      <sheetName val="Satellite Design"/>
      <sheetName val="Ground Station Design"/>
      <sheetName val="Uplink Budget Design"/>
      <sheetName val="Downlink Budget Design"/>
      <sheetName val="Constants"/>
      <sheetName val="Auxiliar Inform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3">
          <cell r="O13" t="str">
            <v>BPSK</v>
          </cell>
        </row>
      </sheetData>
      <sheetData sheetId="11">
        <row r="12">
          <cell r="D12" t="str">
            <v>Phase 0</v>
          </cell>
          <cell r="N12" t="str">
            <v>Yes</v>
          </cell>
        </row>
        <row r="13">
          <cell r="N13" t="str">
            <v>No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348.55060451389" createdVersion="3" refreshedVersion="4" minRefreshableVersion="3" recordCount="16" xr:uid="{00000000-000A-0000-FFFF-FFFF00000000}">
  <cacheSource type="worksheet">
    <worksheetSource name="Range_default"/>
  </cacheSource>
  <cacheFields count="15">
    <cacheField name="Nested Element" numFmtId="0">
      <sharedItems/>
    </cacheField>
    <cacheField name="Parameter Group" numFmtId="0">
      <sharedItems containsNonDate="0" containsString="0" containsBlank="1"/>
    </cacheField>
    <cacheField name="Parameter" numFmtId="0">
      <sharedItems count="16">
        <s v="_name_"/>
        <s v="a_axial"/>
        <s v="a_lat"/>
        <s v="dur"/>
        <s v="f_axial"/>
        <s v="f_lateral"/>
        <s v="low_limit_sc_t"/>
        <s v="m_sp"/>
        <s v="max_sc_dim"/>
        <s v="point_acc"/>
        <s v="SC_Mass_Dry"/>
        <s v="SC_Power_Req"/>
        <s v="sp_dry_mass_exclud_pro"/>
        <s v="str_type"/>
        <s v="total_prop_mass"/>
        <s v="up_t_lim_SC"/>
      </sharedItems>
    </cacheField>
    <cacheField name="State" numFmtId="0">
      <sharedItems containsNonDate="0" containsString="0" containsBlank="1"/>
    </cacheField>
    <cacheField name="Full Path" numFmtId="0">
      <sharedItems/>
    </cacheField>
    <cacheField name="Value" numFmtId="0">
      <sharedItems containsMixedTypes="1" containsNumber="1" containsInteger="1" minValue="0" maxValue="50"/>
    </cacheField>
    <cacheField name="Margin (%)" numFmtId="0">
      <sharedItems containsNonDate="0" containsString="0" containsBlank="1"/>
    </cacheField>
    <cacheField name="Margin" numFmtId="0">
      <sharedItems containsNonDate="0" containsString="0" containsBlank="1"/>
    </cacheField>
    <cacheField name="Scale" numFmtId="0">
      <sharedItems containsBlank="1"/>
    </cacheField>
    <cacheField name="Parameter Owner" numFmtId="0">
      <sharedItems/>
    </cacheField>
    <cacheField name="Subscriber" numFmtId="0">
      <sharedItems containsBlank="1"/>
    </cacheField>
    <cacheField name="Element Owner" numFmtId="0">
      <sharedItems containsBlank="1" count="2">
        <s v="SYS"/>
        <m/>
      </sharedItems>
    </cacheField>
    <cacheField name="Product/Function" numFmtId="0">
      <sharedItems containsBlank="1"/>
    </cacheField>
    <cacheField name="Decomposition Level" numFmtId="0">
      <sharedItems containsSemiMixedTypes="0" containsString="0" containsNumber="1" containsInteger="1" minValue="1" maxValue="1"/>
    </cacheField>
    <cacheField name="Level 1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s v="SYS"/>
    <m/>
    <x v="0"/>
    <m/>
    <s v="\SYS\_name_\\default"/>
    <s v="System Engineering"/>
    <m/>
    <m/>
    <m/>
    <s v="SYS"/>
    <m/>
    <x v="0"/>
    <m/>
    <n v="1"/>
    <s v="SYS (System Engineering)"/>
  </r>
  <r>
    <s v="SYS"/>
    <m/>
    <x v="1"/>
    <m/>
    <s v="\SYS\a_axial\\default"/>
    <n v="6"/>
    <m/>
    <m/>
    <s v="g_n"/>
    <s v="SYS"/>
    <m/>
    <x v="1"/>
    <s v="Function"/>
    <n v="1"/>
    <s v="SYS (System Engineering)"/>
  </r>
  <r>
    <s v="SYS"/>
    <m/>
    <x v="2"/>
    <m/>
    <s v="\SYS\a_lat\\default"/>
    <n v="2"/>
    <m/>
    <m/>
    <s v="g_n"/>
    <s v="SYS"/>
    <m/>
    <x v="1"/>
    <s v="Function"/>
    <n v="1"/>
    <s v="SYS (System Engineering)"/>
  </r>
  <r>
    <s v="SYS"/>
    <m/>
    <x v="3"/>
    <m/>
    <s v="\SYS\dur\\default"/>
    <n v="3"/>
    <m/>
    <m/>
    <s v="yr"/>
    <s v="SYS"/>
    <m/>
    <x v="1"/>
    <s v="Function"/>
    <n v="1"/>
    <s v="SYS (System Engineering)"/>
  </r>
  <r>
    <s v="SYS"/>
    <m/>
    <x v="4"/>
    <m/>
    <s v="\SYS\f_axial\\default"/>
    <n v="25"/>
    <m/>
    <m/>
    <s v="Hz"/>
    <s v="SYS"/>
    <m/>
    <x v="1"/>
    <s v="Function"/>
    <n v="1"/>
    <s v="SYS (System Engineering)"/>
  </r>
  <r>
    <s v="SYS"/>
    <m/>
    <x v="5"/>
    <m/>
    <s v="\SYS\f_lateral\\default"/>
    <n v="10"/>
    <m/>
    <m/>
    <s v="Hz"/>
    <s v="SYS"/>
    <m/>
    <x v="1"/>
    <s v="Function"/>
    <n v="1"/>
    <s v="SYS (System Engineering)"/>
  </r>
  <r>
    <s v="SYS"/>
    <m/>
    <x v="6"/>
    <m/>
    <s v="\SYS\low_limit_sc_t\\default"/>
    <n v="0"/>
    <m/>
    <m/>
    <s v="°C"/>
    <s v="SYS"/>
    <m/>
    <x v="1"/>
    <s v="Function"/>
    <n v="1"/>
    <s v="SYS (System Engineering)"/>
  </r>
  <r>
    <s v="SYS"/>
    <m/>
    <x v="7"/>
    <m/>
    <s v="\SYS\m_sp\\default"/>
    <s v="-"/>
    <m/>
    <m/>
    <s v="kg"/>
    <s v="SYS"/>
    <m/>
    <x v="1"/>
    <s v="Function"/>
    <n v="1"/>
    <s v="SYS (System Engineering)"/>
  </r>
  <r>
    <s v="SYS"/>
    <m/>
    <x v="8"/>
    <m/>
    <s v="\SYS\max_sc_dim\\default"/>
    <s v="-"/>
    <m/>
    <m/>
    <s v="m"/>
    <s v="SYS"/>
    <m/>
    <x v="1"/>
    <s v="Function"/>
    <n v="1"/>
    <s v="SYS (System Engineering)"/>
  </r>
  <r>
    <s v="SYS"/>
    <m/>
    <x v="9"/>
    <m/>
    <s v="\SYS\point_acc\\default"/>
    <s v="0,05"/>
    <m/>
    <m/>
    <s v="°"/>
    <s v="SYS"/>
    <s v="AOC"/>
    <x v="1"/>
    <s v="Function"/>
    <n v="1"/>
    <s v="SYS (System Engineering)"/>
  </r>
  <r>
    <s v="SYS"/>
    <m/>
    <x v="10"/>
    <m/>
    <s v="\SYS\SC_Mass_Dry\\default"/>
    <s v="-"/>
    <m/>
    <m/>
    <s v="kg"/>
    <s v="SYS"/>
    <m/>
    <x v="1"/>
    <s v="Function"/>
    <n v="1"/>
    <s v="SYS (System Engineering)"/>
  </r>
  <r>
    <s v="SYS"/>
    <m/>
    <x v="11"/>
    <m/>
    <s v="\SYS\SC_Power_Req\\default"/>
    <s v="-"/>
    <m/>
    <m/>
    <s v="W"/>
    <s v="SYS"/>
    <m/>
    <x v="1"/>
    <s v="Function"/>
    <n v="1"/>
    <s v="SYS (System Engineering)"/>
  </r>
  <r>
    <s v="SYS"/>
    <m/>
    <x v="12"/>
    <m/>
    <s v="\SYS\sp_dry_mass_exclud_pro\\default"/>
    <s v="-"/>
    <m/>
    <m/>
    <s v="kg"/>
    <s v="SYS"/>
    <m/>
    <x v="1"/>
    <s v="Function"/>
    <n v="1"/>
    <s v="SYS (System Engineering)"/>
  </r>
  <r>
    <s v="SYS"/>
    <m/>
    <x v="13"/>
    <m/>
    <s v="\SYS\str_type\\default"/>
    <s v="Prismatic"/>
    <m/>
    <m/>
    <m/>
    <s v="SYS"/>
    <m/>
    <x v="1"/>
    <s v="Function"/>
    <n v="1"/>
    <s v="SYS (System Engineering)"/>
  </r>
  <r>
    <s v="SYS"/>
    <m/>
    <x v="14"/>
    <m/>
    <s v="\SYS\total_prop_mass\\default"/>
    <s v="-"/>
    <m/>
    <m/>
    <s v="kg"/>
    <s v="SYS"/>
    <m/>
    <x v="1"/>
    <s v="Function"/>
    <n v="1"/>
    <s v="SYS (System Engineering)"/>
  </r>
  <r>
    <s v="SYS"/>
    <m/>
    <x v="15"/>
    <m/>
    <s v="\SYS\up_t_lim_SC\\default"/>
    <n v="50"/>
    <m/>
    <m/>
    <s v="°C"/>
    <s v="SYS"/>
    <m/>
    <x v="1"/>
    <s v="Function"/>
    <n v="1"/>
    <s v="SYS (System Engineering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Summary_Power_default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G3" firstHeaderRow="0" firstDataRow="0" firstDataCol="0" rowPageCount="1" colPageCount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pageFields count="1">
    <pageField fld="11" hier="-1"/>
  </pageFields>
  <formats count="2">
    <format dxfId="1">
      <pivotArea field="11" type="button" dataOnly="0" labelOnly="1" outline="0" axis="axisPage" fieldPosition="0"/>
    </format>
    <format dxfId="0">
      <pivotArea dataOnly="0" labelOnly="1" outline="0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Summary_Mass_default" cacheId="0" applyNumberFormats="0" applyBorderFormats="0" applyFontFormats="0" applyPatternFormats="0" applyAlignmentFormats="0" applyWidthHeightFormats="1" dataCaption="Values" updatedVersion="4" minRefreshableVersion="3" asteriskTotals="1" showCalcMbrs="0" useAutoFormatting="1" itemPrintTitles="1" createdVersion="3" indent="0" outline="1" outlineData="1" multipleFieldFilters="0">
  <location ref="B4" firstHeaderRow="0" firstDataRow="0" firstDataCol="0" rowPageCount="2" colPageCount="1"/>
  <pivotFields count="15">
    <pivotField showAll="0"/>
    <pivotField showAll="0"/>
    <pivotField axis="axisPage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pageFields count="2">
    <pageField fld="11" hier="-1"/>
    <pageField fld="2" hier="-1"/>
  </pageFields>
  <formats count="2">
    <format dxfId="3">
      <pivotArea field="2" type="button" dataOnly="0" labelOnly="1" outline="0" axis="axisPage" fieldPosition="1"/>
    </format>
    <format dxfId="2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image" Target="../media/image22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3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1.xml"/><Relationship Id="rId47" Type="http://schemas.openxmlformats.org/officeDocument/2006/relationships/image" Target="../media/image26.emf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33" Type="http://schemas.openxmlformats.org/officeDocument/2006/relationships/image" Target="../media/image19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3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7.emf"/><Relationship Id="rId41" Type="http://schemas.openxmlformats.org/officeDocument/2006/relationships/image" Target="../media/image2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image" Target="../media/image21.emf"/><Relationship Id="rId40" Type="http://schemas.openxmlformats.org/officeDocument/2006/relationships/control" Target="../activeX/activeX20.xml"/><Relationship Id="rId45" Type="http://schemas.openxmlformats.org/officeDocument/2006/relationships/image" Target="../media/image25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10" Type="http://schemas.openxmlformats.org/officeDocument/2006/relationships/control" Target="../activeX/activeX5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4" Type="http://schemas.openxmlformats.org/officeDocument/2006/relationships/control" Target="../activeX/activeX22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6.emf"/><Relationship Id="rId30" Type="http://schemas.openxmlformats.org/officeDocument/2006/relationships/control" Target="../activeX/activeX15.xml"/><Relationship Id="rId35" Type="http://schemas.openxmlformats.org/officeDocument/2006/relationships/image" Target="../media/image20.emf"/><Relationship Id="rId43" Type="http://schemas.openxmlformats.org/officeDocument/2006/relationships/image" Target="../media/image24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1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4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5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8.emf"/><Relationship Id="rId7" Type="http://schemas.openxmlformats.org/officeDocument/2006/relationships/image" Target="../media/image28.emf"/><Relationship Id="rId12" Type="http://schemas.openxmlformats.org/officeDocument/2006/relationships/control" Target="../activeX/activeX28.xml"/><Relationship Id="rId17" Type="http://schemas.openxmlformats.org/officeDocument/2006/relationships/image" Target="../media/image33.emf"/><Relationship Id="rId25" Type="http://schemas.openxmlformats.org/officeDocument/2006/relationships/image" Target="../media/image37.emf"/><Relationship Id="rId33" Type="http://schemas.openxmlformats.org/officeDocument/2006/relationships/image" Target="../media/image41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39.emf"/><Relationship Id="rId41" Type="http://schemas.openxmlformats.org/officeDocument/2006/relationships/image" Target="../media/image45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5.xml"/><Relationship Id="rId11" Type="http://schemas.openxmlformats.org/officeDocument/2006/relationships/image" Target="../media/image30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3.emf"/><Relationship Id="rId40" Type="http://schemas.openxmlformats.org/officeDocument/2006/relationships/control" Target="../activeX/activeX42.xml"/><Relationship Id="rId45" Type="http://schemas.openxmlformats.org/officeDocument/2006/relationships/image" Target="../media/image47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23" Type="http://schemas.openxmlformats.org/officeDocument/2006/relationships/image" Target="../media/image36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10" Type="http://schemas.openxmlformats.org/officeDocument/2006/relationships/control" Target="../activeX/activeX27.xml"/><Relationship Id="rId19" Type="http://schemas.openxmlformats.org/officeDocument/2006/relationships/image" Target="../media/image34.emf"/><Relationship Id="rId31" Type="http://schemas.openxmlformats.org/officeDocument/2006/relationships/image" Target="../media/image40.emf"/><Relationship Id="rId44" Type="http://schemas.openxmlformats.org/officeDocument/2006/relationships/control" Target="../activeX/activeX44.xml"/><Relationship Id="rId4" Type="http://schemas.openxmlformats.org/officeDocument/2006/relationships/control" Target="../activeX/activeX24.xml"/><Relationship Id="rId9" Type="http://schemas.openxmlformats.org/officeDocument/2006/relationships/image" Target="../media/image29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8.emf"/><Relationship Id="rId30" Type="http://schemas.openxmlformats.org/officeDocument/2006/relationships/control" Target="../activeX/activeX37.xml"/><Relationship Id="rId35" Type="http://schemas.openxmlformats.org/officeDocument/2006/relationships/image" Target="../media/image42.emf"/><Relationship Id="rId43" Type="http://schemas.openxmlformats.org/officeDocument/2006/relationships/image" Target="../media/image4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0.emf"/><Relationship Id="rId4" Type="http://schemas.openxmlformats.org/officeDocument/2006/relationships/control" Target="../activeX/activeX4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AA39"/>
  <sheetViews>
    <sheetView zoomScaleNormal="100" workbookViewId="0">
      <pane ySplit="16" topLeftCell="A17" activePane="bottomLeft" state="frozen"/>
      <selection pane="bottomLeft" activeCell="G6" sqref="G6:U7"/>
    </sheetView>
  </sheetViews>
  <sheetFormatPr defaultColWidth="9" defaultRowHeight="18" customHeight="1" x14ac:dyDescent="0.4"/>
  <cols>
    <col min="1" max="16384" width="9" style="17"/>
  </cols>
  <sheetData>
    <row r="1" spans="2:27" ht="15" customHeight="1" x14ac:dyDescent="0.4"/>
    <row r="2" spans="2:27" ht="15" customHeight="1" x14ac:dyDescent="0.4"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2:27" ht="15" customHeight="1" x14ac:dyDescent="0.4">
      <c r="B3" s="18"/>
      <c r="AA3" s="18"/>
    </row>
    <row r="4" spans="2:27" ht="15" customHeight="1" x14ac:dyDescent="0.4">
      <c r="B4" s="18"/>
      <c r="G4" s="157" t="s">
        <v>53</v>
      </c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AA4" s="18"/>
    </row>
    <row r="5" spans="2:27" ht="15" customHeight="1" x14ac:dyDescent="0.4">
      <c r="B5" s="18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AA5" s="18"/>
    </row>
    <row r="6" spans="2:27" ht="15" customHeight="1" x14ac:dyDescent="0.4">
      <c r="B6" s="18"/>
      <c r="G6" s="158" t="s">
        <v>0</v>
      </c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AA6" s="18"/>
    </row>
    <row r="7" spans="2:27" ht="15" customHeight="1" x14ac:dyDescent="0.4">
      <c r="B7" s="1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AA7" s="18"/>
    </row>
    <row r="8" spans="2:27" ht="15" customHeight="1" x14ac:dyDescent="0.4">
      <c r="B8" s="18"/>
      <c r="AA8" s="18"/>
    </row>
    <row r="9" spans="2:27" ht="18" customHeight="1" x14ac:dyDescent="0.4"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</row>
    <row r="10" spans="2:27" ht="18" customHeight="1" x14ac:dyDescent="0.4">
      <c r="B10" s="18"/>
      <c r="C10" s="150" t="s">
        <v>8</v>
      </c>
      <c r="D10" s="151"/>
      <c r="E10" s="151"/>
      <c r="F10" s="152"/>
      <c r="G10" s="18"/>
      <c r="H10" s="159" t="s">
        <v>9</v>
      </c>
      <c r="I10" s="160"/>
      <c r="J10" s="160"/>
      <c r="K10" s="161"/>
      <c r="L10" s="18"/>
      <c r="M10" s="150" t="s">
        <v>10</v>
      </c>
      <c r="N10" s="151"/>
      <c r="O10" s="151"/>
      <c r="P10" s="152"/>
      <c r="Q10" s="18"/>
      <c r="R10" s="150" t="s">
        <v>12</v>
      </c>
      <c r="S10" s="151"/>
      <c r="T10" s="151"/>
      <c r="U10" s="152"/>
      <c r="V10" s="18"/>
      <c r="W10" s="150" t="s">
        <v>11</v>
      </c>
      <c r="X10" s="151"/>
      <c r="Y10" s="151"/>
      <c r="Z10" s="152"/>
      <c r="AA10" s="18"/>
    </row>
    <row r="11" spans="2:27" ht="18" customHeight="1" x14ac:dyDescent="0.4">
      <c r="B11" s="18"/>
      <c r="C11" s="153"/>
      <c r="D11" s="154"/>
      <c r="E11" s="154"/>
      <c r="F11" s="155"/>
      <c r="G11" s="18"/>
      <c r="H11" s="162"/>
      <c r="I11" s="163"/>
      <c r="J11" s="163"/>
      <c r="K11" s="164"/>
      <c r="L11" s="18"/>
      <c r="M11" s="153"/>
      <c r="N11" s="154"/>
      <c r="O11" s="154"/>
      <c r="P11" s="155"/>
      <c r="Q11" s="18"/>
      <c r="R11" s="153"/>
      <c r="S11" s="154"/>
      <c r="T11" s="154"/>
      <c r="U11" s="155"/>
      <c r="V11" s="18"/>
      <c r="W11" s="153"/>
      <c r="X11" s="154"/>
      <c r="Y11" s="154"/>
      <c r="Z11" s="155"/>
      <c r="AA11" s="18"/>
    </row>
    <row r="12" spans="2:27" ht="18" customHeight="1" x14ac:dyDescent="0.4">
      <c r="B12" s="18"/>
      <c r="C12" s="147"/>
      <c r="D12" s="148"/>
      <c r="E12" s="148"/>
      <c r="F12" s="149"/>
      <c r="G12" s="18"/>
      <c r="H12" s="147"/>
      <c r="I12" s="148"/>
      <c r="J12" s="148"/>
      <c r="K12" s="149"/>
      <c r="L12" s="18"/>
      <c r="M12" s="147"/>
      <c r="N12" s="148"/>
      <c r="O12" s="148"/>
      <c r="P12" s="149"/>
      <c r="Q12" s="18"/>
      <c r="R12" s="165"/>
      <c r="S12" s="166"/>
      <c r="T12" s="166"/>
      <c r="U12" s="156"/>
      <c r="V12" s="18"/>
      <c r="W12" s="147"/>
      <c r="X12" s="148"/>
      <c r="Y12" s="148"/>
      <c r="Z12" s="149"/>
      <c r="AA12" s="18"/>
    </row>
    <row r="13" spans="2:27" ht="18" customHeight="1" x14ac:dyDescent="0.4"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</row>
    <row r="14" spans="2:27" ht="18" customHeight="1" x14ac:dyDescent="0.4">
      <c r="B14" s="18"/>
      <c r="C14" s="170" t="s">
        <v>1</v>
      </c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8"/>
    </row>
    <row r="15" spans="2:27" ht="18" customHeight="1" x14ac:dyDescent="0.4">
      <c r="B15" s="18"/>
      <c r="C15" s="173"/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5"/>
      <c r="AA15" s="18"/>
    </row>
    <row r="16" spans="2:27" ht="18" customHeight="1" x14ac:dyDescent="0.4">
      <c r="B16" s="18"/>
      <c r="C16" s="150" t="s">
        <v>2</v>
      </c>
      <c r="D16" s="152"/>
      <c r="E16" s="150" t="s">
        <v>3</v>
      </c>
      <c r="F16" s="152"/>
      <c r="G16" s="167" t="s">
        <v>6</v>
      </c>
      <c r="H16" s="168"/>
      <c r="I16" s="168"/>
      <c r="J16" s="169"/>
      <c r="K16" s="167" t="s">
        <v>4</v>
      </c>
      <c r="L16" s="168"/>
      <c r="M16" s="168"/>
      <c r="N16" s="168"/>
      <c r="O16" s="169"/>
      <c r="P16" s="167" t="s">
        <v>5</v>
      </c>
      <c r="Q16" s="168"/>
      <c r="R16" s="168"/>
      <c r="S16" s="169"/>
      <c r="T16" s="167" t="s">
        <v>7</v>
      </c>
      <c r="U16" s="168"/>
      <c r="V16" s="168"/>
      <c r="W16" s="168"/>
      <c r="X16" s="168"/>
      <c r="Y16" s="168"/>
      <c r="Z16" s="169"/>
      <c r="AA16" s="18"/>
    </row>
    <row r="17" spans="2:27" ht="18" customHeight="1" x14ac:dyDescent="0.4">
      <c r="B17" s="18"/>
      <c r="C17" s="147"/>
      <c r="D17" s="156"/>
      <c r="E17" s="147"/>
      <c r="F17" s="156"/>
      <c r="G17" s="147"/>
      <c r="H17" s="148"/>
      <c r="I17" s="148"/>
      <c r="J17" s="149"/>
      <c r="K17" s="147"/>
      <c r="L17" s="148"/>
      <c r="M17" s="148"/>
      <c r="N17" s="148"/>
      <c r="O17" s="149"/>
      <c r="P17" s="147"/>
      <c r="Q17" s="148"/>
      <c r="R17" s="148"/>
      <c r="S17" s="149"/>
      <c r="T17" s="147"/>
      <c r="U17" s="148"/>
      <c r="V17" s="148"/>
      <c r="W17" s="148"/>
      <c r="X17" s="148"/>
      <c r="Y17" s="148"/>
      <c r="Z17" s="149"/>
      <c r="AA17" s="18"/>
    </row>
    <row r="18" spans="2:27" ht="18" customHeight="1" x14ac:dyDescent="0.4">
      <c r="B18" s="18"/>
      <c r="C18" s="147"/>
      <c r="D18" s="156"/>
      <c r="E18" s="147"/>
      <c r="F18" s="156"/>
      <c r="G18" s="147"/>
      <c r="H18" s="148"/>
      <c r="I18" s="148"/>
      <c r="J18" s="149"/>
      <c r="K18" s="147"/>
      <c r="L18" s="148"/>
      <c r="M18" s="148"/>
      <c r="N18" s="148"/>
      <c r="O18" s="149"/>
      <c r="P18" s="147"/>
      <c r="Q18" s="148"/>
      <c r="R18" s="148"/>
      <c r="S18" s="149"/>
      <c r="T18" s="147"/>
      <c r="U18" s="148"/>
      <c r="V18" s="148"/>
      <c r="W18" s="148"/>
      <c r="X18" s="148"/>
      <c r="Y18" s="148"/>
      <c r="Z18" s="149"/>
      <c r="AA18" s="18"/>
    </row>
    <row r="19" spans="2:27" ht="18" customHeight="1" x14ac:dyDescent="0.4">
      <c r="B19" s="18"/>
      <c r="C19" s="147"/>
      <c r="D19" s="156"/>
      <c r="E19" s="147"/>
      <c r="F19" s="156"/>
      <c r="G19" s="147"/>
      <c r="H19" s="148"/>
      <c r="I19" s="148"/>
      <c r="J19" s="149"/>
      <c r="K19" s="147"/>
      <c r="L19" s="148"/>
      <c r="M19" s="148"/>
      <c r="N19" s="148"/>
      <c r="O19" s="149"/>
      <c r="P19" s="147"/>
      <c r="Q19" s="148"/>
      <c r="R19" s="148"/>
      <c r="S19" s="149"/>
      <c r="T19" s="147"/>
      <c r="U19" s="148"/>
      <c r="V19" s="148"/>
      <c r="W19" s="148"/>
      <c r="X19" s="148"/>
      <c r="Y19" s="148"/>
      <c r="Z19" s="149"/>
      <c r="AA19" s="18"/>
    </row>
    <row r="20" spans="2:27" ht="18" customHeight="1" x14ac:dyDescent="0.4">
      <c r="B20" s="18"/>
      <c r="C20" s="147"/>
      <c r="D20" s="156"/>
      <c r="E20" s="147"/>
      <c r="F20" s="156"/>
      <c r="G20" s="147"/>
      <c r="H20" s="148"/>
      <c r="I20" s="148"/>
      <c r="J20" s="149"/>
      <c r="K20" s="147"/>
      <c r="L20" s="148"/>
      <c r="M20" s="148"/>
      <c r="N20" s="148"/>
      <c r="O20" s="149"/>
      <c r="P20" s="147"/>
      <c r="Q20" s="148"/>
      <c r="R20" s="148"/>
      <c r="S20" s="149"/>
      <c r="T20" s="147"/>
      <c r="U20" s="148"/>
      <c r="V20" s="148"/>
      <c r="W20" s="148"/>
      <c r="X20" s="148"/>
      <c r="Y20" s="148"/>
      <c r="Z20" s="149"/>
      <c r="AA20" s="18"/>
    </row>
    <row r="21" spans="2:27" ht="18" customHeight="1" x14ac:dyDescent="0.4">
      <c r="B21" s="18"/>
      <c r="C21" s="147"/>
      <c r="D21" s="156"/>
      <c r="E21" s="147"/>
      <c r="F21" s="156"/>
      <c r="G21" s="147"/>
      <c r="H21" s="148"/>
      <c r="I21" s="148"/>
      <c r="J21" s="149"/>
      <c r="K21" s="147"/>
      <c r="L21" s="148"/>
      <c r="M21" s="148"/>
      <c r="N21" s="148"/>
      <c r="O21" s="149"/>
      <c r="P21" s="147"/>
      <c r="Q21" s="148"/>
      <c r="R21" s="148"/>
      <c r="S21" s="149"/>
      <c r="T21" s="147"/>
      <c r="U21" s="148"/>
      <c r="V21" s="148"/>
      <c r="W21" s="148"/>
      <c r="X21" s="148"/>
      <c r="Y21" s="148"/>
      <c r="Z21" s="149"/>
      <c r="AA21" s="18"/>
    </row>
    <row r="22" spans="2:27" ht="18" customHeight="1" x14ac:dyDescent="0.4">
      <c r="B22" s="18"/>
      <c r="C22" s="147"/>
      <c r="D22" s="156"/>
      <c r="E22" s="147"/>
      <c r="F22" s="156"/>
      <c r="G22" s="147"/>
      <c r="H22" s="148"/>
      <c r="I22" s="148"/>
      <c r="J22" s="149"/>
      <c r="K22" s="147"/>
      <c r="L22" s="148"/>
      <c r="M22" s="148"/>
      <c r="N22" s="148"/>
      <c r="O22" s="149"/>
      <c r="P22" s="147"/>
      <c r="Q22" s="148"/>
      <c r="R22" s="148"/>
      <c r="S22" s="149"/>
      <c r="T22" s="147"/>
      <c r="U22" s="148"/>
      <c r="V22" s="148"/>
      <c r="W22" s="148"/>
      <c r="X22" s="148"/>
      <c r="Y22" s="148"/>
      <c r="Z22" s="149"/>
      <c r="AA22" s="18"/>
    </row>
    <row r="23" spans="2:27" ht="18" customHeight="1" x14ac:dyDescent="0.4">
      <c r="B23" s="18"/>
      <c r="C23" s="147"/>
      <c r="D23" s="156"/>
      <c r="E23" s="147"/>
      <c r="F23" s="156"/>
      <c r="G23" s="147"/>
      <c r="H23" s="148"/>
      <c r="I23" s="148"/>
      <c r="J23" s="149"/>
      <c r="K23" s="147"/>
      <c r="L23" s="148"/>
      <c r="M23" s="148"/>
      <c r="N23" s="148"/>
      <c r="O23" s="149"/>
      <c r="P23" s="147"/>
      <c r="Q23" s="148"/>
      <c r="R23" s="148"/>
      <c r="S23" s="149"/>
      <c r="T23" s="147"/>
      <c r="U23" s="148"/>
      <c r="V23" s="148"/>
      <c r="W23" s="148"/>
      <c r="X23" s="148"/>
      <c r="Y23" s="148"/>
      <c r="Z23" s="149"/>
      <c r="AA23" s="18"/>
    </row>
    <row r="24" spans="2:27" ht="18" customHeight="1" x14ac:dyDescent="0.4">
      <c r="B24" s="18"/>
      <c r="C24" s="147"/>
      <c r="D24" s="156"/>
      <c r="E24" s="147"/>
      <c r="F24" s="156"/>
      <c r="G24" s="147"/>
      <c r="H24" s="148"/>
      <c r="I24" s="148"/>
      <c r="J24" s="149"/>
      <c r="K24" s="147"/>
      <c r="L24" s="148"/>
      <c r="M24" s="148"/>
      <c r="N24" s="148"/>
      <c r="O24" s="149"/>
      <c r="P24" s="147"/>
      <c r="Q24" s="148"/>
      <c r="R24" s="148"/>
      <c r="S24" s="149"/>
      <c r="T24" s="147"/>
      <c r="U24" s="148"/>
      <c r="V24" s="148"/>
      <c r="W24" s="148"/>
      <c r="X24" s="148"/>
      <c r="Y24" s="148"/>
      <c r="Z24" s="149"/>
      <c r="AA24" s="18"/>
    </row>
    <row r="25" spans="2:27" ht="18" customHeight="1" x14ac:dyDescent="0.4">
      <c r="B25" s="18"/>
      <c r="C25" s="147"/>
      <c r="D25" s="156"/>
      <c r="E25" s="147"/>
      <c r="F25" s="156"/>
      <c r="G25" s="147"/>
      <c r="H25" s="148"/>
      <c r="I25" s="148"/>
      <c r="J25" s="149"/>
      <c r="K25" s="147"/>
      <c r="L25" s="148"/>
      <c r="M25" s="148"/>
      <c r="N25" s="148"/>
      <c r="O25" s="149"/>
      <c r="P25" s="147"/>
      <c r="Q25" s="148"/>
      <c r="R25" s="148"/>
      <c r="S25" s="149"/>
      <c r="T25" s="147"/>
      <c r="U25" s="148"/>
      <c r="V25" s="148"/>
      <c r="W25" s="148"/>
      <c r="X25" s="148"/>
      <c r="Y25" s="148"/>
      <c r="Z25" s="149"/>
      <c r="AA25" s="18"/>
    </row>
    <row r="26" spans="2:27" ht="18" customHeight="1" x14ac:dyDescent="0.4">
      <c r="B26" s="18"/>
      <c r="C26" s="147"/>
      <c r="D26" s="156"/>
      <c r="E26" s="147"/>
      <c r="F26" s="156"/>
      <c r="G26" s="147"/>
      <c r="H26" s="148"/>
      <c r="I26" s="148"/>
      <c r="J26" s="149"/>
      <c r="K26" s="147"/>
      <c r="L26" s="148"/>
      <c r="M26" s="148"/>
      <c r="N26" s="148"/>
      <c r="O26" s="149"/>
      <c r="P26" s="147"/>
      <c r="Q26" s="148"/>
      <c r="R26" s="148"/>
      <c r="S26" s="149"/>
      <c r="T26" s="147"/>
      <c r="U26" s="148"/>
      <c r="V26" s="148"/>
      <c r="W26" s="148"/>
      <c r="X26" s="148"/>
      <c r="Y26" s="148"/>
      <c r="Z26" s="149"/>
      <c r="AA26" s="18"/>
    </row>
    <row r="27" spans="2:27" ht="18" customHeight="1" x14ac:dyDescent="0.4">
      <c r="B27" s="18"/>
      <c r="C27" s="147"/>
      <c r="D27" s="156"/>
      <c r="E27" s="147"/>
      <c r="F27" s="156"/>
      <c r="G27" s="147"/>
      <c r="H27" s="148"/>
      <c r="I27" s="148"/>
      <c r="J27" s="149"/>
      <c r="K27" s="147"/>
      <c r="L27" s="148"/>
      <c r="M27" s="148"/>
      <c r="N27" s="148"/>
      <c r="O27" s="149"/>
      <c r="P27" s="147"/>
      <c r="Q27" s="148"/>
      <c r="R27" s="148"/>
      <c r="S27" s="149"/>
      <c r="T27" s="147"/>
      <c r="U27" s="148"/>
      <c r="V27" s="148"/>
      <c r="W27" s="148"/>
      <c r="X27" s="148"/>
      <c r="Y27" s="148"/>
      <c r="Z27" s="149"/>
      <c r="AA27" s="18"/>
    </row>
    <row r="28" spans="2:27" ht="18" customHeight="1" x14ac:dyDescent="0.4">
      <c r="B28" s="18"/>
      <c r="C28" s="147"/>
      <c r="D28" s="156"/>
      <c r="E28" s="147"/>
      <c r="F28" s="156"/>
      <c r="G28" s="147"/>
      <c r="H28" s="148"/>
      <c r="I28" s="148"/>
      <c r="J28" s="149"/>
      <c r="K28" s="147"/>
      <c r="L28" s="148"/>
      <c r="M28" s="148"/>
      <c r="N28" s="148"/>
      <c r="O28" s="149"/>
      <c r="P28" s="147"/>
      <c r="Q28" s="148"/>
      <c r="R28" s="148"/>
      <c r="S28" s="149"/>
      <c r="T28" s="147"/>
      <c r="U28" s="148"/>
      <c r="V28" s="148"/>
      <c r="W28" s="148"/>
      <c r="X28" s="148"/>
      <c r="Y28" s="148"/>
      <c r="Z28" s="149"/>
      <c r="AA28" s="18"/>
    </row>
    <row r="29" spans="2:27" ht="18" customHeight="1" x14ac:dyDescent="0.4">
      <c r="B29" s="18"/>
      <c r="C29" s="147"/>
      <c r="D29" s="156"/>
      <c r="E29" s="147"/>
      <c r="F29" s="156"/>
      <c r="G29" s="147"/>
      <c r="H29" s="148"/>
      <c r="I29" s="148"/>
      <c r="J29" s="149"/>
      <c r="K29" s="147"/>
      <c r="L29" s="148"/>
      <c r="M29" s="148"/>
      <c r="N29" s="148"/>
      <c r="O29" s="149"/>
      <c r="P29" s="147"/>
      <c r="Q29" s="148"/>
      <c r="R29" s="148"/>
      <c r="S29" s="149"/>
      <c r="T29" s="147"/>
      <c r="U29" s="148"/>
      <c r="V29" s="148"/>
      <c r="W29" s="148"/>
      <c r="X29" s="148"/>
      <c r="Y29" s="148"/>
      <c r="Z29" s="149"/>
      <c r="AA29" s="18"/>
    </row>
    <row r="30" spans="2:27" ht="18" customHeight="1" x14ac:dyDescent="0.4">
      <c r="B30" s="18"/>
      <c r="C30" s="147"/>
      <c r="D30" s="156"/>
      <c r="E30" s="147"/>
      <c r="F30" s="156"/>
      <c r="G30" s="147"/>
      <c r="H30" s="148"/>
      <c r="I30" s="148"/>
      <c r="J30" s="149"/>
      <c r="K30" s="147"/>
      <c r="L30" s="148"/>
      <c r="M30" s="148"/>
      <c r="N30" s="148"/>
      <c r="O30" s="149"/>
      <c r="P30" s="147"/>
      <c r="Q30" s="148"/>
      <c r="R30" s="148"/>
      <c r="S30" s="149"/>
      <c r="T30" s="147"/>
      <c r="U30" s="148"/>
      <c r="V30" s="148"/>
      <c r="W30" s="148"/>
      <c r="X30" s="148"/>
      <c r="Y30" s="148"/>
      <c r="Z30" s="149"/>
      <c r="AA30" s="18"/>
    </row>
    <row r="31" spans="2:27" ht="18" customHeight="1" x14ac:dyDescent="0.4">
      <c r="B31" s="18"/>
      <c r="C31" s="147"/>
      <c r="D31" s="156"/>
      <c r="E31" s="147"/>
      <c r="F31" s="156"/>
      <c r="G31" s="147"/>
      <c r="H31" s="148"/>
      <c r="I31" s="148"/>
      <c r="J31" s="149"/>
      <c r="K31" s="147"/>
      <c r="L31" s="148"/>
      <c r="M31" s="148"/>
      <c r="N31" s="148"/>
      <c r="O31" s="149"/>
      <c r="P31" s="147"/>
      <c r="Q31" s="148"/>
      <c r="R31" s="148"/>
      <c r="S31" s="149"/>
      <c r="T31" s="147"/>
      <c r="U31" s="148"/>
      <c r="V31" s="148"/>
      <c r="W31" s="148"/>
      <c r="X31" s="148"/>
      <c r="Y31" s="148"/>
      <c r="Z31" s="149"/>
      <c r="AA31" s="18"/>
    </row>
    <row r="32" spans="2:27" ht="18" customHeight="1" x14ac:dyDescent="0.4">
      <c r="B32" s="18"/>
      <c r="C32" s="147"/>
      <c r="D32" s="156"/>
      <c r="E32" s="147"/>
      <c r="F32" s="156"/>
      <c r="G32" s="147"/>
      <c r="H32" s="148"/>
      <c r="I32" s="148"/>
      <c r="J32" s="149"/>
      <c r="K32" s="147"/>
      <c r="L32" s="148"/>
      <c r="M32" s="148"/>
      <c r="N32" s="148"/>
      <c r="O32" s="149"/>
      <c r="P32" s="147"/>
      <c r="Q32" s="148"/>
      <c r="R32" s="148"/>
      <c r="S32" s="149"/>
      <c r="T32" s="147"/>
      <c r="U32" s="148"/>
      <c r="V32" s="148"/>
      <c r="W32" s="148"/>
      <c r="X32" s="148"/>
      <c r="Y32" s="148"/>
      <c r="Z32" s="149"/>
      <c r="AA32" s="18"/>
    </row>
    <row r="33" spans="2:27" ht="18" customHeight="1" x14ac:dyDescent="0.4">
      <c r="B33" s="18"/>
      <c r="C33" s="147"/>
      <c r="D33" s="156"/>
      <c r="E33" s="147"/>
      <c r="F33" s="156"/>
      <c r="G33" s="147"/>
      <c r="H33" s="148"/>
      <c r="I33" s="148"/>
      <c r="J33" s="149"/>
      <c r="K33" s="147"/>
      <c r="L33" s="148"/>
      <c r="M33" s="148"/>
      <c r="N33" s="148"/>
      <c r="O33" s="149"/>
      <c r="P33" s="147"/>
      <c r="Q33" s="148"/>
      <c r="R33" s="148"/>
      <c r="S33" s="149"/>
      <c r="T33" s="147"/>
      <c r="U33" s="148"/>
      <c r="V33" s="148"/>
      <c r="W33" s="148"/>
      <c r="X33" s="148"/>
      <c r="Y33" s="148"/>
      <c r="Z33" s="149"/>
      <c r="AA33" s="18"/>
    </row>
    <row r="34" spans="2:27" ht="18" customHeight="1" x14ac:dyDescent="0.4">
      <c r="B34" s="18"/>
      <c r="C34" s="147"/>
      <c r="D34" s="156"/>
      <c r="E34" s="147"/>
      <c r="F34" s="156"/>
      <c r="G34" s="147"/>
      <c r="H34" s="148"/>
      <c r="I34" s="148"/>
      <c r="J34" s="149"/>
      <c r="K34" s="147"/>
      <c r="L34" s="148"/>
      <c r="M34" s="148"/>
      <c r="N34" s="148"/>
      <c r="O34" s="149"/>
      <c r="P34" s="147"/>
      <c r="Q34" s="148"/>
      <c r="R34" s="148"/>
      <c r="S34" s="149"/>
      <c r="T34" s="147"/>
      <c r="U34" s="148"/>
      <c r="V34" s="148"/>
      <c r="W34" s="148"/>
      <c r="X34" s="148"/>
      <c r="Y34" s="148"/>
      <c r="Z34" s="149"/>
      <c r="AA34" s="18"/>
    </row>
    <row r="35" spans="2:27" ht="18" customHeight="1" x14ac:dyDescent="0.4">
      <c r="B35" s="18"/>
      <c r="C35" s="147"/>
      <c r="D35" s="156"/>
      <c r="E35" s="147"/>
      <c r="F35" s="156"/>
      <c r="G35" s="147"/>
      <c r="H35" s="148"/>
      <c r="I35" s="148"/>
      <c r="J35" s="149"/>
      <c r="K35" s="147"/>
      <c r="L35" s="148"/>
      <c r="M35" s="148"/>
      <c r="N35" s="148"/>
      <c r="O35" s="149"/>
      <c r="P35" s="147"/>
      <c r="Q35" s="148"/>
      <c r="R35" s="148"/>
      <c r="S35" s="149"/>
      <c r="T35" s="147"/>
      <c r="U35" s="148"/>
      <c r="V35" s="148"/>
      <c r="W35" s="148"/>
      <c r="X35" s="148"/>
      <c r="Y35" s="148"/>
      <c r="Z35" s="149"/>
      <c r="AA35" s="18"/>
    </row>
    <row r="36" spans="2:27" ht="18" customHeight="1" x14ac:dyDescent="0.4">
      <c r="B36" s="18"/>
      <c r="C36" s="147"/>
      <c r="D36" s="156"/>
      <c r="E36" s="147"/>
      <c r="F36" s="156"/>
      <c r="G36" s="147"/>
      <c r="H36" s="148"/>
      <c r="I36" s="148"/>
      <c r="J36" s="149"/>
      <c r="K36" s="147"/>
      <c r="L36" s="148"/>
      <c r="M36" s="148"/>
      <c r="N36" s="148"/>
      <c r="O36" s="149"/>
      <c r="P36" s="147"/>
      <c r="Q36" s="148"/>
      <c r="R36" s="148"/>
      <c r="S36" s="149"/>
      <c r="T36" s="147"/>
      <c r="U36" s="148"/>
      <c r="V36" s="148"/>
      <c r="W36" s="148"/>
      <c r="X36" s="148"/>
      <c r="Y36" s="148"/>
      <c r="Z36" s="149"/>
      <c r="AA36" s="18"/>
    </row>
    <row r="37" spans="2:27" ht="18" customHeight="1" x14ac:dyDescent="0.4">
      <c r="B37" s="18"/>
      <c r="C37" s="147"/>
      <c r="D37" s="156"/>
      <c r="E37" s="147"/>
      <c r="F37" s="156"/>
      <c r="G37" s="147"/>
      <c r="H37" s="148"/>
      <c r="I37" s="148"/>
      <c r="J37" s="149"/>
      <c r="K37" s="147"/>
      <c r="L37" s="148"/>
      <c r="M37" s="148"/>
      <c r="N37" s="148"/>
      <c r="O37" s="149"/>
      <c r="P37" s="147"/>
      <c r="Q37" s="148"/>
      <c r="R37" s="148"/>
      <c r="S37" s="149"/>
      <c r="T37" s="147"/>
      <c r="U37" s="148"/>
      <c r="V37" s="148"/>
      <c r="W37" s="148"/>
      <c r="X37" s="148"/>
      <c r="Y37" s="148"/>
      <c r="Z37" s="149"/>
      <c r="AA37" s="18"/>
    </row>
    <row r="38" spans="2:27" ht="18" customHeight="1" x14ac:dyDescent="0.4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</row>
    <row r="39" spans="2:27" ht="18" customHeight="1" x14ac:dyDescent="0.4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</row>
  </sheetData>
  <sheetProtection selectLockedCells="1"/>
  <mergeCells count="145">
    <mergeCell ref="P30:S30"/>
    <mergeCell ref="P31:S31"/>
    <mergeCell ref="P32:S32"/>
    <mergeCell ref="P33:S33"/>
    <mergeCell ref="P34:S34"/>
    <mergeCell ref="P35:S35"/>
    <mergeCell ref="P36:S36"/>
    <mergeCell ref="P37:S37"/>
    <mergeCell ref="T16:Z16"/>
    <mergeCell ref="T17:Z17"/>
    <mergeCell ref="T18:Z18"/>
    <mergeCell ref="T19:Z19"/>
    <mergeCell ref="T20:Z20"/>
    <mergeCell ref="T27:Z27"/>
    <mergeCell ref="T28:Z28"/>
    <mergeCell ref="T29:Z29"/>
    <mergeCell ref="T30:Z30"/>
    <mergeCell ref="T31:Z31"/>
    <mergeCell ref="T32:Z32"/>
    <mergeCell ref="T33:Z33"/>
    <mergeCell ref="T34:Z34"/>
    <mergeCell ref="T35:Z35"/>
    <mergeCell ref="T36:Z36"/>
    <mergeCell ref="T37:Z37"/>
    <mergeCell ref="G4:U5"/>
    <mergeCell ref="G6:U7"/>
    <mergeCell ref="C16:D16"/>
    <mergeCell ref="E16:F16"/>
    <mergeCell ref="C10:F11"/>
    <mergeCell ref="C12:F12"/>
    <mergeCell ref="H10:K11"/>
    <mergeCell ref="H12:K12"/>
    <mergeCell ref="M10:P11"/>
    <mergeCell ref="M12:P12"/>
    <mergeCell ref="R10:U11"/>
    <mergeCell ref="R12:U12"/>
    <mergeCell ref="G16:J16"/>
    <mergeCell ref="K16:O16"/>
    <mergeCell ref="P16:S16"/>
    <mergeCell ref="C14:Z15"/>
    <mergeCell ref="C18:D18"/>
    <mergeCell ref="C19:D19"/>
    <mergeCell ref="C20:D20"/>
    <mergeCell ref="C27:D27"/>
    <mergeCell ref="C17:D17"/>
    <mergeCell ref="C21:D21"/>
    <mergeCell ref="C22:D22"/>
    <mergeCell ref="C23:D23"/>
    <mergeCell ref="C24:D24"/>
    <mergeCell ref="C25:D25"/>
    <mergeCell ref="C26:D26"/>
    <mergeCell ref="K17:O17"/>
    <mergeCell ref="K18:O18"/>
    <mergeCell ref="K19:O19"/>
    <mergeCell ref="E18:F18"/>
    <mergeCell ref="E19:F19"/>
    <mergeCell ref="E20:F20"/>
    <mergeCell ref="E27:F27"/>
    <mergeCell ref="E28:F28"/>
    <mergeCell ref="E29:F29"/>
    <mergeCell ref="E17:F17"/>
    <mergeCell ref="G28:J28"/>
    <mergeCell ref="G29:J29"/>
    <mergeCell ref="E21:F21"/>
    <mergeCell ref="E22:F22"/>
    <mergeCell ref="E23:F23"/>
    <mergeCell ref="E24:F24"/>
    <mergeCell ref="E25:F25"/>
    <mergeCell ref="E26:F26"/>
    <mergeCell ref="G17:J17"/>
    <mergeCell ref="G18:J18"/>
    <mergeCell ref="G19:J19"/>
    <mergeCell ref="G24:J24"/>
    <mergeCell ref="G25:J25"/>
    <mergeCell ref="G26:J26"/>
    <mergeCell ref="C34:D34"/>
    <mergeCell ref="C35:D35"/>
    <mergeCell ref="C36:D36"/>
    <mergeCell ref="C37:D37"/>
    <mergeCell ref="C28:D28"/>
    <mergeCell ref="C29:D29"/>
    <mergeCell ref="C30:D30"/>
    <mergeCell ref="E33:F33"/>
    <mergeCell ref="E34:F34"/>
    <mergeCell ref="E35:F35"/>
    <mergeCell ref="E36:F36"/>
    <mergeCell ref="E37:F37"/>
    <mergeCell ref="C31:D31"/>
    <mergeCell ref="C32:D32"/>
    <mergeCell ref="C33:D33"/>
    <mergeCell ref="E30:F30"/>
    <mergeCell ref="E31:F31"/>
    <mergeCell ref="E32:F32"/>
    <mergeCell ref="G34:J34"/>
    <mergeCell ref="G35:J35"/>
    <mergeCell ref="G36:J36"/>
    <mergeCell ref="G37:J37"/>
    <mergeCell ref="K20:O20"/>
    <mergeCell ref="K27:O27"/>
    <mergeCell ref="K28:O28"/>
    <mergeCell ref="K29:O29"/>
    <mergeCell ref="K30:O30"/>
    <mergeCell ref="K31:O31"/>
    <mergeCell ref="K32:O32"/>
    <mergeCell ref="K33:O33"/>
    <mergeCell ref="K34:O34"/>
    <mergeCell ref="K35:O35"/>
    <mergeCell ref="K36:O36"/>
    <mergeCell ref="K37:O37"/>
    <mergeCell ref="G30:J30"/>
    <mergeCell ref="G31:J31"/>
    <mergeCell ref="G32:J32"/>
    <mergeCell ref="G33:J33"/>
    <mergeCell ref="G20:J20"/>
    <mergeCell ref="G21:J21"/>
    <mergeCell ref="G22:J22"/>
    <mergeCell ref="G23:J23"/>
    <mergeCell ref="P28:S28"/>
    <mergeCell ref="P29:S29"/>
    <mergeCell ref="W10:Z11"/>
    <mergeCell ref="W12:Z12"/>
    <mergeCell ref="P17:S17"/>
    <mergeCell ref="P21:S21"/>
    <mergeCell ref="P22:S22"/>
    <mergeCell ref="P23:S23"/>
    <mergeCell ref="P24:S24"/>
    <mergeCell ref="P25:S25"/>
    <mergeCell ref="P26:S26"/>
    <mergeCell ref="T21:Z21"/>
    <mergeCell ref="T22:Z22"/>
    <mergeCell ref="T23:Z23"/>
    <mergeCell ref="T24:Z24"/>
    <mergeCell ref="T25:Z25"/>
    <mergeCell ref="T26:Z26"/>
    <mergeCell ref="G27:J27"/>
    <mergeCell ref="K21:O21"/>
    <mergeCell ref="K22:O22"/>
    <mergeCell ref="K23:O23"/>
    <mergeCell ref="K24:O24"/>
    <mergeCell ref="K25:O25"/>
    <mergeCell ref="K26:O26"/>
    <mergeCell ref="P18:S18"/>
    <mergeCell ref="P19:S19"/>
    <mergeCell ref="P20:S20"/>
    <mergeCell ref="P27:S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locked="0" defaultSize="0" autoLine="0" listFillRange="Phases" r:id="rId5">
            <anchor moveWithCells="1">
              <from>
                <xdr:col>17</xdr:col>
                <xdr:colOff>0</xdr:colOff>
                <xdr:row>10</xdr:row>
                <xdr:rowOff>220980</xdr:rowOff>
              </from>
              <to>
                <xdr:col>20</xdr:col>
                <xdr:colOff>381000</xdr:colOff>
                <xdr:row>12</xdr:row>
                <xdr:rowOff>7620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AA38"/>
  <sheetViews>
    <sheetView topLeftCell="C1" zoomScaleNormal="100" workbookViewId="0">
      <pane ySplit="15" topLeftCell="A16" activePane="bottomLeft" state="frozen"/>
      <selection pane="bottomLeft" activeCell="H16" sqref="H16:I16"/>
    </sheetView>
  </sheetViews>
  <sheetFormatPr defaultColWidth="9" defaultRowHeight="18" customHeight="1" x14ac:dyDescent="0.4"/>
  <cols>
    <col min="1" max="11" width="9" style="4"/>
    <col min="12" max="12" width="9" style="4" customWidth="1"/>
    <col min="13" max="16384" width="9" style="4"/>
  </cols>
  <sheetData>
    <row r="1" spans="2:27" ht="15" customHeight="1" x14ac:dyDescent="0.4"/>
    <row r="2" spans="2:27" ht="15" customHeight="1" x14ac:dyDescent="0.4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</row>
    <row r="3" spans="2:27" ht="15" customHeight="1" x14ac:dyDescent="0.4">
      <c r="B3" s="5"/>
      <c r="AA3" s="5"/>
    </row>
    <row r="4" spans="2:27" ht="15" customHeight="1" x14ac:dyDescent="0.4">
      <c r="B4" s="5"/>
      <c r="G4" s="199" t="s">
        <v>53</v>
      </c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AA4" s="5"/>
    </row>
    <row r="5" spans="2:27" ht="15" customHeight="1" x14ac:dyDescent="0.4">
      <c r="B5" s="5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AA5" s="5"/>
    </row>
    <row r="6" spans="2:27" ht="15" customHeight="1" x14ac:dyDescent="0.4">
      <c r="B6" s="5"/>
      <c r="G6" s="200" t="s">
        <v>13</v>
      </c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AA6" s="5"/>
    </row>
    <row r="7" spans="2:27" ht="15" customHeight="1" x14ac:dyDescent="0.4">
      <c r="B7" s="5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AA7" s="5"/>
    </row>
    <row r="8" spans="2:27" ht="15" customHeight="1" x14ac:dyDescent="0.4">
      <c r="B8" s="5"/>
      <c r="AA8" s="5"/>
    </row>
    <row r="9" spans="2:27" ht="18" customHeight="1" x14ac:dyDescent="0.4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</row>
    <row r="10" spans="2:27" ht="18" customHeight="1" x14ac:dyDescent="0.4">
      <c r="B10" s="5"/>
      <c r="C10" s="186" t="s">
        <v>42</v>
      </c>
      <c r="D10" s="186"/>
      <c r="E10" s="7"/>
      <c r="F10" s="5"/>
      <c r="G10" s="184" t="s">
        <v>44</v>
      </c>
      <c r="H10" s="185"/>
      <c r="I10" s="9"/>
      <c r="J10" s="5"/>
      <c r="K10" s="186" t="s">
        <v>51</v>
      </c>
      <c r="L10" s="186"/>
      <c r="M10" s="11"/>
      <c r="N10" s="6"/>
      <c r="O10" s="184" t="s">
        <v>50</v>
      </c>
      <c r="P10" s="185"/>
      <c r="Q10" s="13"/>
      <c r="R10" s="5"/>
      <c r="S10" s="184" t="s">
        <v>47</v>
      </c>
      <c r="T10" s="185"/>
      <c r="U10" s="2"/>
      <c r="V10" s="5"/>
      <c r="W10" s="5"/>
      <c r="X10" s="5"/>
      <c r="Y10" s="5"/>
      <c r="Z10" s="5"/>
      <c r="AA10" s="5"/>
    </row>
    <row r="11" spans="2:27" ht="18" customHeight="1" x14ac:dyDescent="0.4">
      <c r="B11" s="5"/>
      <c r="C11" s="6"/>
      <c r="D11" s="6"/>
      <c r="E11" s="6"/>
      <c r="F11" s="5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5"/>
      <c r="W11" s="5"/>
      <c r="X11" s="5"/>
      <c r="Y11" s="5"/>
      <c r="Z11" s="5"/>
      <c r="AA11" s="5"/>
    </row>
    <row r="12" spans="2:27" ht="18" customHeight="1" x14ac:dyDescent="0.4">
      <c r="B12" s="5"/>
      <c r="C12" s="186" t="s">
        <v>43</v>
      </c>
      <c r="D12" s="186"/>
      <c r="E12" s="8"/>
      <c r="F12" s="5"/>
      <c r="G12" s="184" t="s">
        <v>45</v>
      </c>
      <c r="H12" s="185"/>
      <c r="I12" s="10"/>
      <c r="J12" s="6"/>
      <c r="K12" s="186" t="s">
        <v>46</v>
      </c>
      <c r="L12" s="186"/>
      <c r="M12" s="1"/>
      <c r="N12" s="6"/>
      <c r="O12" s="186" t="s">
        <v>49</v>
      </c>
      <c r="P12" s="186"/>
      <c r="Q12" s="3"/>
      <c r="R12" s="6"/>
      <c r="S12" s="184" t="s">
        <v>48</v>
      </c>
      <c r="T12" s="185"/>
      <c r="U12" s="12"/>
      <c r="V12" s="5"/>
      <c r="W12" s="5"/>
      <c r="X12" s="5"/>
      <c r="Y12" s="5"/>
      <c r="Z12" s="5"/>
      <c r="AA12" s="5"/>
    </row>
    <row r="13" spans="2:27" ht="18" customHeight="1" x14ac:dyDescent="0.4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</row>
    <row r="14" spans="2:27" ht="18" customHeight="1" x14ac:dyDescent="0.4">
      <c r="B14" s="5"/>
      <c r="C14" s="183" t="s">
        <v>14</v>
      </c>
      <c r="D14" s="183"/>
      <c r="E14" s="183"/>
      <c r="F14" s="183" t="s">
        <v>15</v>
      </c>
      <c r="G14" s="183"/>
      <c r="H14" s="183" t="s">
        <v>16</v>
      </c>
      <c r="I14" s="183"/>
      <c r="J14" s="183" t="s">
        <v>17</v>
      </c>
      <c r="K14" s="183"/>
      <c r="L14" s="183" t="s">
        <v>18</v>
      </c>
      <c r="M14" s="183"/>
      <c r="N14" s="183"/>
      <c r="O14" s="183"/>
      <c r="P14" s="183" t="s">
        <v>19</v>
      </c>
      <c r="Q14" s="183"/>
      <c r="R14" s="183" t="s">
        <v>20</v>
      </c>
      <c r="S14" s="183"/>
      <c r="T14" s="183" t="s">
        <v>21</v>
      </c>
      <c r="U14" s="183"/>
      <c r="V14" s="188" t="s">
        <v>7</v>
      </c>
      <c r="W14" s="189"/>
      <c r="X14" s="189"/>
      <c r="Y14" s="189"/>
      <c r="Z14" s="190"/>
      <c r="AA14" s="5"/>
    </row>
    <row r="15" spans="2:27" ht="18" customHeight="1" x14ac:dyDescent="0.4">
      <c r="B15" s="5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91"/>
      <c r="W15" s="192"/>
      <c r="X15" s="192"/>
      <c r="Y15" s="192"/>
      <c r="Z15" s="193"/>
      <c r="AA15" s="5"/>
    </row>
    <row r="16" spans="2:27" ht="18" customHeight="1" x14ac:dyDescent="0.4">
      <c r="B16" s="5"/>
      <c r="C16" s="176"/>
      <c r="D16" s="177"/>
      <c r="E16" s="178"/>
      <c r="F16" s="176"/>
      <c r="G16" s="179"/>
      <c r="H16" s="147" t="s">
        <v>80</v>
      </c>
      <c r="I16" s="148"/>
      <c r="J16" s="180"/>
      <c r="K16" s="181"/>
      <c r="L16" s="176" t="s">
        <v>118</v>
      </c>
      <c r="M16" s="177"/>
      <c r="N16" s="177"/>
      <c r="O16" s="178"/>
      <c r="P16" s="176"/>
      <c r="Q16" s="182"/>
      <c r="R16" s="176" t="s">
        <v>35</v>
      </c>
      <c r="S16" s="182"/>
      <c r="T16" s="187" t="s">
        <v>119</v>
      </c>
      <c r="U16" s="182"/>
      <c r="V16" s="147"/>
      <c r="W16" s="148"/>
      <c r="X16" s="148"/>
      <c r="Y16" s="148"/>
      <c r="Z16" s="148"/>
      <c r="AA16" s="5"/>
    </row>
    <row r="17" spans="2:27" ht="18" customHeight="1" x14ac:dyDescent="0.4">
      <c r="B17" s="5"/>
      <c r="C17" s="176"/>
      <c r="D17" s="177"/>
      <c r="E17" s="178"/>
      <c r="F17" s="176"/>
      <c r="G17" s="179"/>
      <c r="H17" s="147">
        <f>6378000+400000</f>
        <v>6778000</v>
      </c>
      <c r="I17" s="148"/>
      <c r="J17" s="180"/>
      <c r="K17" s="181"/>
      <c r="L17" s="176" t="s">
        <v>120</v>
      </c>
      <c r="M17" s="177"/>
      <c r="N17" s="177"/>
      <c r="O17" s="178"/>
      <c r="P17" s="176"/>
      <c r="Q17" s="182"/>
      <c r="R17" s="176" t="s">
        <v>110</v>
      </c>
      <c r="S17" s="182"/>
      <c r="T17" s="187" t="s">
        <v>119</v>
      </c>
      <c r="U17" s="182"/>
      <c r="V17" s="147"/>
      <c r="W17" s="148"/>
      <c r="X17" s="148"/>
      <c r="Y17" s="148"/>
      <c r="Z17" s="148"/>
      <c r="AA17" s="5"/>
    </row>
    <row r="18" spans="2:27" ht="18" customHeight="1" x14ac:dyDescent="0.4">
      <c r="B18" s="5"/>
      <c r="C18" s="176"/>
      <c r="D18" s="177"/>
      <c r="E18" s="178"/>
      <c r="F18" s="176"/>
      <c r="G18" s="179"/>
      <c r="H18" s="147">
        <v>7500</v>
      </c>
      <c r="I18" s="148"/>
      <c r="J18" s="180"/>
      <c r="K18" s="181"/>
      <c r="L18" s="176" t="s">
        <v>121</v>
      </c>
      <c r="M18" s="177"/>
      <c r="N18" s="177"/>
      <c r="O18" s="178"/>
      <c r="P18" s="176"/>
      <c r="Q18" s="182"/>
      <c r="R18" s="176" t="s">
        <v>59</v>
      </c>
      <c r="S18" s="182"/>
      <c r="T18" s="187" t="s">
        <v>119</v>
      </c>
      <c r="U18" s="182"/>
      <c r="V18" s="147"/>
      <c r="W18" s="148"/>
      <c r="X18" s="148"/>
      <c r="Y18" s="148"/>
      <c r="Z18" s="148"/>
      <c r="AA18" s="5"/>
    </row>
    <row r="19" spans="2:27" ht="18" customHeight="1" x14ac:dyDescent="0.4">
      <c r="B19" s="5"/>
      <c r="C19" s="176"/>
      <c r="D19" s="177"/>
      <c r="E19" s="178"/>
      <c r="F19" s="176"/>
      <c r="G19" s="179"/>
      <c r="H19" s="198">
        <v>1.0000000000000001E-15</v>
      </c>
      <c r="I19" s="148"/>
      <c r="J19" s="180"/>
      <c r="K19" s="181"/>
      <c r="L19" s="176" t="s">
        <v>122</v>
      </c>
      <c r="M19" s="177"/>
      <c r="N19" s="177"/>
      <c r="O19" s="178"/>
      <c r="P19" s="176"/>
      <c r="Q19" s="182"/>
      <c r="R19" s="187" t="s">
        <v>111</v>
      </c>
      <c r="S19" s="182"/>
      <c r="T19" s="187" t="s">
        <v>119</v>
      </c>
      <c r="U19" s="182"/>
      <c r="V19" s="147"/>
      <c r="W19" s="148"/>
      <c r="X19" s="148"/>
      <c r="Y19" s="148"/>
      <c r="Z19" s="148"/>
      <c r="AA19" s="5"/>
    </row>
    <row r="20" spans="2:27" ht="18" customHeight="1" x14ac:dyDescent="0.4">
      <c r="B20" s="5"/>
      <c r="C20" s="176"/>
      <c r="D20" s="177"/>
      <c r="E20" s="178"/>
      <c r="F20" s="176"/>
      <c r="G20" s="179"/>
      <c r="H20" s="147">
        <v>5557</v>
      </c>
      <c r="I20" s="148"/>
      <c r="J20" s="180"/>
      <c r="K20" s="181"/>
      <c r="L20" s="176" t="s">
        <v>181</v>
      </c>
      <c r="M20" s="177"/>
      <c r="N20" s="177"/>
      <c r="O20" s="178"/>
      <c r="P20" s="176"/>
      <c r="Q20" s="182"/>
      <c r="R20" s="187" t="s">
        <v>174</v>
      </c>
      <c r="S20" s="182"/>
      <c r="T20" s="187" t="s">
        <v>119</v>
      </c>
      <c r="U20" s="182"/>
      <c r="V20" s="147"/>
      <c r="W20" s="148"/>
      <c r="X20" s="148"/>
      <c r="Y20" s="148"/>
      <c r="Z20" s="148"/>
      <c r="AA20" s="5"/>
    </row>
    <row r="21" spans="2:27" ht="18" customHeight="1" x14ac:dyDescent="0.4">
      <c r="B21" s="5"/>
      <c r="C21" s="176"/>
      <c r="D21" s="177"/>
      <c r="E21" s="178"/>
      <c r="F21" s="176"/>
      <c r="G21" s="179"/>
      <c r="H21" s="147">
        <v>1367</v>
      </c>
      <c r="I21" s="148"/>
      <c r="J21" s="180"/>
      <c r="K21" s="181"/>
      <c r="L21" s="176" t="s">
        <v>158</v>
      </c>
      <c r="M21" s="177"/>
      <c r="N21" s="177"/>
      <c r="O21" s="178"/>
      <c r="P21" s="176"/>
      <c r="Q21" s="182"/>
      <c r="R21" s="187" t="s">
        <v>117</v>
      </c>
      <c r="S21" s="182"/>
      <c r="T21" s="197" t="s">
        <v>45</v>
      </c>
      <c r="U21" s="182"/>
      <c r="V21" s="147"/>
      <c r="W21" s="148"/>
      <c r="X21" s="148"/>
      <c r="Y21" s="148"/>
      <c r="Z21" s="148"/>
      <c r="AA21" s="5"/>
    </row>
    <row r="22" spans="2:27" ht="18" customHeight="1" x14ac:dyDescent="0.4">
      <c r="B22" s="5"/>
      <c r="C22" s="176"/>
      <c r="D22" s="177"/>
      <c r="E22" s="178"/>
      <c r="F22" s="176"/>
      <c r="G22" s="179"/>
      <c r="H22" s="147">
        <v>2.2999999999999998</v>
      </c>
      <c r="I22" s="148"/>
      <c r="J22" s="180"/>
      <c r="K22" s="181"/>
      <c r="L22" s="176" t="s">
        <v>159</v>
      </c>
      <c r="M22" s="177"/>
      <c r="N22" s="177"/>
      <c r="O22" s="178"/>
      <c r="P22" s="176"/>
      <c r="Q22" s="182"/>
      <c r="R22" s="187" t="s">
        <v>35</v>
      </c>
      <c r="S22" s="182"/>
      <c r="T22" s="194" t="s">
        <v>49</v>
      </c>
      <c r="U22" s="182"/>
      <c r="V22" s="147"/>
      <c r="W22" s="148"/>
      <c r="X22" s="148"/>
      <c r="Y22" s="148"/>
      <c r="Z22" s="148"/>
      <c r="AA22" s="5"/>
    </row>
    <row r="23" spans="2:27" ht="18" customHeight="1" x14ac:dyDescent="0.4">
      <c r="B23" s="5"/>
      <c r="C23" s="176"/>
      <c r="D23" s="177"/>
      <c r="E23" s="178"/>
      <c r="F23" s="176"/>
      <c r="G23" s="179"/>
      <c r="H23" s="198">
        <v>7500</v>
      </c>
      <c r="I23" s="148"/>
      <c r="J23" s="180"/>
      <c r="K23" s="181"/>
      <c r="L23" s="176" t="s">
        <v>160</v>
      </c>
      <c r="M23" s="177"/>
      <c r="N23" s="177"/>
      <c r="O23" s="178"/>
      <c r="P23" s="176"/>
      <c r="Q23" s="182"/>
      <c r="R23" s="187" t="s">
        <v>176</v>
      </c>
      <c r="S23" s="182"/>
      <c r="T23" s="194" t="s">
        <v>49</v>
      </c>
      <c r="U23" s="182"/>
      <c r="V23" s="147"/>
      <c r="W23" s="148"/>
      <c r="X23" s="148"/>
      <c r="Y23" s="148"/>
      <c r="Z23" s="148"/>
      <c r="AA23" s="5"/>
    </row>
    <row r="24" spans="2:27" ht="18" customHeight="1" x14ac:dyDescent="0.4">
      <c r="B24" s="5"/>
      <c r="C24" s="176"/>
      <c r="D24" s="177"/>
      <c r="E24" s="178"/>
      <c r="F24" s="176"/>
      <c r="G24" s="179"/>
      <c r="H24" s="198">
        <v>5000</v>
      </c>
      <c r="I24" s="148"/>
      <c r="J24" s="180"/>
      <c r="K24" s="181"/>
      <c r="L24" s="176" t="s">
        <v>161</v>
      </c>
      <c r="M24" s="177"/>
      <c r="N24" s="177"/>
      <c r="O24" s="178"/>
      <c r="P24" s="176"/>
      <c r="Q24" s="182"/>
      <c r="R24" s="187" t="s">
        <v>176</v>
      </c>
      <c r="S24" s="182"/>
      <c r="T24" s="194" t="s">
        <v>49</v>
      </c>
      <c r="U24" s="182"/>
      <c r="V24" s="147"/>
      <c r="W24" s="148"/>
      <c r="X24" s="148"/>
      <c r="Y24" s="148"/>
      <c r="Z24" s="148"/>
      <c r="AA24" s="5"/>
    </row>
    <row r="25" spans="2:27" ht="18" customHeight="1" x14ac:dyDescent="0.4">
      <c r="B25" s="5"/>
      <c r="C25" s="176"/>
      <c r="D25" s="177"/>
      <c r="E25" s="178"/>
      <c r="F25" s="176"/>
      <c r="G25" s="179"/>
      <c r="H25" s="198">
        <v>10000</v>
      </c>
      <c r="I25" s="148"/>
      <c r="J25" s="180"/>
      <c r="K25" s="181"/>
      <c r="L25" s="176" t="s">
        <v>162</v>
      </c>
      <c r="M25" s="177"/>
      <c r="N25" s="177"/>
      <c r="O25" s="178"/>
      <c r="P25" s="176"/>
      <c r="Q25" s="182"/>
      <c r="R25" s="187" t="s">
        <v>176</v>
      </c>
      <c r="S25" s="182"/>
      <c r="T25" s="194" t="s">
        <v>49</v>
      </c>
      <c r="U25" s="195"/>
      <c r="V25" s="147"/>
      <c r="W25" s="148"/>
      <c r="X25" s="148"/>
      <c r="Y25" s="148"/>
      <c r="Z25" s="148"/>
      <c r="AA25" s="5"/>
    </row>
    <row r="26" spans="2:27" ht="18" customHeight="1" x14ac:dyDescent="0.4">
      <c r="B26" s="5"/>
      <c r="C26" s="176"/>
      <c r="D26" s="177"/>
      <c r="E26" s="178"/>
      <c r="F26" s="176"/>
      <c r="G26" s="179"/>
      <c r="H26" s="147">
        <v>3</v>
      </c>
      <c r="I26" s="148"/>
      <c r="J26" s="180"/>
      <c r="K26" s="181"/>
      <c r="L26" s="176" t="s">
        <v>185</v>
      </c>
      <c r="M26" s="177"/>
      <c r="N26" s="177"/>
      <c r="O26" s="178"/>
      <c r="P26" s="176"/>
      <c r="Q26" s="182"/>
      <c r="R26" s="187" t="s">
        <v>124</v>
      </c>
      <c r="S26" s="182"/>
      <c r="T26" s="196" t="s">
        <v>51</v>
      </c>
      <c r="U26" s="182"/>
      <c r="V26" s="147"/>
      <c r="W26" s="148"/>
      <c r="X26" s="148"/>
      <c r="Y26" s="148"/>
      <c r="Z26" s="148"/>
      <c r="AA26" s="5"/>
    </row>
    <row r="27" spans="2:27" ht="18" customHeight="1" x14ac:dyDescent="0.4">
      <c r="B27" s="5"/>
      <c r="C27" s="176"/>
      <c r="D27" s="177"/>
      <c r="E27" s="178"/>
      <c r="F27" s="176"/>
      <c r="G27" s="179"/>
      <c r="H27" s="147" t="s">
        <v>236</v>
      </c>
      <c r="I27" s="148"/>
      <c r="J27" s="180"/>
      <c r="K27" s="181"/>
      <c r="L27" s="176" t="s">
        <v>186</v>
      </c>
      <c r="M27" s="177"/>
      <c r="N27" s="177"/>
      <c r="O27" s="178"/>
      <c r="P27" s="176"/>
      <c r="Q27" s="182"/>
      <c r="R27" s="187" t="s">
        <v>187</v>
      </c>
      <c r="S27" s="182"/>
      <c r="T27" s="196" t="s">
        <v>51</v>
      </c>
      <c r="U27" s="182"/>
      <c r="V27" s="147"/>
      <c r="W27" s="148"/>
      <c r="X27" s="148"/>
      <c r="Y27" s="148"/>
      <c r="Z27" s="148"/>
      <c r="AA27" s="5"/>
    </row>
    <row r="28" spans="2:27" ht="18" customHeight="1" x14ac:dyDescent="0.4">
      <c r="B28" s="5"/>
      <c r="C28" s="176"/>
      <c r="D28" s="177"/>
      <c r="E28" s="178"/>
      <c r="F28" s="176"/>
      <c r="G28" s="179"/>
      <c r="H28" s="147">
        <v>0.5</v>
      </c>
      <c r="I28" s="148"/>
      <c r="J28" s="180"/>
      <c r="K28" s="181"/>
      <c r="L28" s="176" t="s">
        <v>188</v>
      </c>
      <c r="M28" s="177"/>
      <c r="N28" s="177"/>
      <c r="O28" s="178"/>
      <c r="P28" s="176"/>
      <c r="Q28" s="182"/>
      <c r="R28" s="187" t="s">
        <v>130</v>
      </c>
      <c r="S28" s="182"/>
      <c r="T28" s="194" t="s">
        <v>49</v>
      </c>
      <c r="U28" s="182"/>
      <c r="V28" s="147"/>
      <c r="W28" s="148"/>
      <c r="X28" s="148"/>
      <c r="Y28" s="148"/>
      <c r="Z28" s="148"/>
      <c r="AA28" s="5"/>
    </row>
    <row r="29" spans="2:27" ht="18" customHeight="1" x14ac:dyDescent="0.4">
      <c r="B29" s="5"/>
      <c r="C29" s="176"/>
      <c r="D29" s="177"/>
      <c r="E29" s="178"/>
      <c r="F29" s="176"/>
      <c r="G29" s="179"/>
      <c r="H29" s="147">
        <v>0.8</v>
      </c>
      <c r="I29" s="148"/>
      <c r="J29" s="180"/>
      <c r="K29" s="181"/>
      <c r="L29" s="176" t="s">
        <v>189</v>
      </c>
      <c r="M29" s="177"/>
      <c r="N29" s="177"/>
      <c r="O29" s="178"/>
      <c r="P29" s="176"/>
      <c r="Q29" s="182"/>
      <c r="R29" s="187" t="s">
        <v>130</v>
      </c>
      <c r="S29" s="182"/>
      <c r="T29" s="194" t="s">
        <v>49</v>
      </c>
      <c r="U29" s="182"/>
      <c r="V29" s="147"/>
      <c r="W29" s="148"/>
      <c r="X29" s="148"/>
      <c r="Y29" s="148"/>
      <c r="Z29" s="148"/>
      <c r="AA29" s="5"/>
    </row>
    <row r="30" spans="2:27" ht="18" customHeight="1" x14ac:dyDescent="0.4">
      <c r="B30" s="5"/>
      <c r="C30" s="176"/>
      <c r="D30" s="177"/>
      <c r="E30" s="178"/>
      <c r="F30" s="176"/>
      <c r="G30" s="179"/>
      <c r="H30" s="147">
        <v>0.1</v>
      </c>
      <c r="I30" s="148"/>
      <c r="J30" s="180"/>
      <c r="K30" s="181"/>
      <c r="L30" s="176" t="s">
        <v>349</v>
      </c>
      <c r="M30" s="177"/>
      <c r="N30" s="177"/>
      <c r="O30" s="178"/>
      <c r="P30" s="187"/>
      <c r="Q30" s="182"/>
      <c r="R30" s="187" t="s">
        <v>110</v>
      </c>
      <c r="S30" s="182"/>
      <c r="T30" s="187" t="s">
        <v>49</v>
      </c>
      <c r="U30" s="182"/>
      <c r="V30" s="147"/>
      <c r="W30" s="148"/>
      <c r="X30" s="148"/>
      <c r="Y30" s="148"/>
      <c r="Z30" s="148"/>
      <c r="AA30" s="5"/>
    </row>
    <row r="31" spans="2:27" ht="18" customHeight="1" x14ac:dyDescent="0.4">
      <c r="B31" s="5"/>
      <c r="C31" s="176"/>
      <c r="D31" s="177"/>
      <c r="E31" s="178"/>
      <c r="F31" s="176"/>
      <c r="G31" s="179"/>
      <c r="H31" s="147">
        <v>0.1</v>
      </c>
      <c r="I31" s="148"/>
      <c r="J31" s="180"/>
      <c r="K31" s="181"/>
      <c r="L31" s="176" t="s">
        <v>350</v>
      </c>
      <c r="M31" s="177"/>
      <c r="N31" s="177"/>
      <c r="O31" s="178"/>
      <c r="P31" s="187"/>
      <c r="Q31" s="182"/>
      <c r="R31" s="187" t="s">
        <v>110</v>
      </c>
      <c r="S31" s="182"/>
      <c r="T31" s="187" t="s">
        <v>49</v>
      </c>
      <c r="U31" s="182"/>
      <c r="V31" s="147"/>
      <c r="W31" s="148"/>
      <c r="X31" s="148"/>
      <c r="Y31" s="148"/>
      <c r="Z31" s="148"/>
      <c r="AA31" s="5"/>
    </row>
    <row r="32" spans="2:27" ht="18" customHeight="1" x14ac:dyDescent="0.4">
      <c r="B32" s="5"/>
      <c r="C32" s="176"/>
      <c r="D32" s="177"/>
      <c r="E32" s="178"/>
      <c r="F32" s="176"/>
      <c r="G32" s="179"/>
      <c r="H32" s="147">
        <v>0.3</v>
      </c>
      <c r="I32" s="148"/>
      <c r="J32" s="180"/>
      <c r="K32" s="181"/>
      <c r="L32" s="176" t="s">
        <v>351</v>
      </c>
      <c r="M32" s="177"/>
      <c r="N32" s="177"/>
      <c r="O32" s="178"/>
      <c r="P32" s="187"/>
      <c r="Q32" s="182"/>
      <c r="R32" s="187" t="s">
        <v>110</v>
      </c>
      <c r="S32" s="182"/>
      <c r="T32" s="187" t="s">
        <v>49</v>
      </c>
      <c r="U32" s="182"/>
      <c r="V32" s="147"/>
      <c r="W32" s="148"/>
      <c r="X32" s="148"/>
      <c r="Y32" s="148"/>
      <c r="Z32" s="148"/>
      <c r="AA32" s="5"/>
    </row>
    <row r="33" spans="2:27" ht="18" customHeight="1" x14ac:dyDescent="0.4">
      <c r="B33" s="5"/>
      <c r="C33" s="176"/>
      <c r="D33" s="177"/>
      <c r="E33" s="178"/>
      <c r="F33" s="176"/>
      <c r="G33" s="179"/>
      <c r="H33" s="147">
        <v>0.6</v>
      </c>
      <c r="I33" s="148"/>
      <c r="J33" s="180"/>
      <c r="K33" s="181"/>
      <c r="L33" s="176" t="s">
        <v>360</v>
      </c>
      <c r="M33" s="177"/>
      <c r="N33" s="177"/>
      <c r="O33" s="178"/>
      <c r="P33" s="187"/>
      <c r="Q33" s="182"/>
      <c r="R33" s="187" t="s">
        <v>35</v>
      </c>
      <c r="S33" s="182"/>
      <c r="T33" s="187" t="s">
        <v>48</v>
      </c>
      <c r="U33" s="182"/>
      <c r="V33" s="147"/>
      <c r="W33" s="148"/>
      <c r="X33" s="148"/>
      <c r="Y33" s="148"/>
      <c r="Z33" s="148"/>
      <c r="AA33" s="5"/>
    </row>
    <row r="34" spans="2:27" ht="18" customHeight="1" x14ac:dyDescent="0.4">
      <c r="B34" s="5"/>
      <c r="C34" s="176"/>
      <c r="D34" s="177"/>
      <c r="E34" s="178"/>
      <c r="F34" s="176"/>
      <c r="G34" s="179"/>
      <c r="H34" s="147"/>
      <c r="I34" s="148"/>
      <c r="J34" s="180"/>
      <c r="K34" s="181"/>
      <c r="L34" s="176"/>
      <c r="M34" s="177"/>
      <c r="N34" s="177"/>
      <c r="O34" s="178"/>
      <c r="P34" s="187"/>
      <c r="Q34" s="182"/>
      <c r="R34" s="187"/>
      <c r="S34" s="182"/>
      <c r="T34" s="187"/>
      <c r="U34" s="182"/>
      <c r="V34" s="147"/>
      <c r="W34" s="148"/>
      <c r="X34" s="148"/>
      <c r="Y34" s="148"/>
      <c r="Z34" s="148"/>
      <c r="AA34" s="5"/>
    </row>
    <row r="35" spans="2:27" ht="18" customHeight="1" x14ac:dyDescent="0.4">
      <c r="B35" s="5"/>
      <c r="C35" s="176"/>
      <c r="D35" s="177"/>
      <c r="E35" s="178"/>
      <c r="F35" s="176"/>
      <c r="G35" s="179"/>
      <c r="H35" s="147"/>
      <c r="I35" s="148"/>
      <c r="J35" s="180"/>
      <c r="K35" s="181"/>
      <c r="L35" s="176"/>
      <c r="M35" s="177"/>
      <c r="N35" s="177"/>
      <c r="O35" s="178"/>
      <c r="P35" s="187"/>
      <c r="Q35" s="182"/>
      <c r="R35" s="187"/>
      <c r="S35" s="182"/>
      <c r="T35" s="187"/>
      <c r="U35" s="182"/>
      <c r="V35" s="147"/>
      <c r="W35" s="148"/>
      <c r="X35" s="148"/>
      <c r="Y35" s="148"/>
      <c r="Z35" s="148"/>
      <c r="AA35" s="5"/>
    </row>
    <row r="36" spans="2:27" ht="18" customHeight="1" x14ac:dyDescent="0.4">
      <c r="B36" s="5"/>
      <c r="C36" s="176"/>
      <c r="D36" s="177"/>
      <c r="E36" s="178"/>
      <c r="F36" s="176"/>
      <c r="G36" s="179"/>
      <c r="H36" s="147"/>
      <c r="I36" s="148"/>
      <c r="J36" s="180"/>
      <c r="K36" s="181"/>
      <c r="L36" s="176"/>
      <c r="M36" s="177"/>
      <c r="N36" s="177"/>
      <c r="O36" s="178"/>
      <c r="P36" s="187"/>
      <c r="Q36" s="182"/>
      <c r="R36" s="187"/>
      <c r="S36" s="182"/>
      <c r="T36" s="187"/>
      <c r="U36" s="182"/>
      <c r="V36" s="147"/>
      <c r="W36" s="148"/>
      <c r="X36" s="148"/>
      <c r="Y36" s="148"/>
      <c r="Z36" s="148"/>
      <c r="AA36" s="5"/>
    </row>
    <row r="37" spans="2:27" ht="18" customHeight="1" x14ac:dyDescent="0.4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spans="2:27" ht="18" customHeight="1" x14ac:dyDescent="0.4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</row>
  </sheetData>
  <sheetProtection selectLockedCells="1"/>
  <mergeCells count="210">
    <mergeCell ref="C26:E26"/>
    <mergeCell ref="G4:U5"/>
    <mergeCell ref="G6:U7"/>
    <mergeCell ref="J31:K31"/>
    <mergeCell ref="H17:I17"/>
    <mergeCell ref="J17:K17"/>
    <mergeCell ref="H18:I18"/>
    <mergeCell ref="J18:K18"/>
    <mergeCell ref="H19:I19"/>
    <mergeCell ref="J19:K19"/>
    <mergeCell ref="P17:Q17"/>
    <mergeCell ref="R17:S17"/>
    <mergeCell ref="T17:U17"/>
    <mergeCell ref="F24:G24"/>
    <mergeCell ref="F28:G28"/>
    <mergeCell ref="F29:G29"/>
    <mergeCell ref="H28:I28"/>
    <mergeCell ref="H24:I24"/>
    <mergeCell ref="J24:K24"/>
    <mergeCell ref="L24:O24"/>
    <mergeCell ref="L25:O25"/>
    <mergeCell ref="L27:O27"/>
    <mergeCell ref="L28:O28"/>
    <mergeCell ref="L29:O29"/>
    <mergeCell ref="C24:E24"/>
    <mergeCell ref="H20:I20"/>
    <mergeCell ref="J20:K20"/>
    <mergeCell ref="H21:I21"/>
    <mergeCell ref="J21:K21"/>
    <mergeCell ref="H22:I22"/>
    <mergeCell ref="J22:K22"/>
    <mergeCell ref="H23:I23"/>
    <mergeCell ref="J23:K23"/>
    <mergeCell ref="C30:E30"/>
    <mergeCell ref="C32:E32"/>
    <mergeCell ref="F30:G30"/>
    <mergeCell ref="F32:G32"/>
    <mergeCell ref="H33:I33"/>
    <mergeCell ref="J33:K33"/>
    <mergeCell ref="C31:E31"/>
    <mergeCell ref="F31:G31"/>
    <mergeCell ref="F33:G33"/>
    <mergeCell ref="C27:E27"/>
    <mergeCell ref="P20:Q20"/>
    <mergeCell ref="R20:S20"/>
    <mergeCell ref="T20:U20"/>
    <mergeCell ref="P21:Q21"/>
    <mergeCell ref="R21:S21"/>
    <mergeCell ref="T21:U21"/>
    <mergeCell ref="L22:O22"/>
    <mergeCell ref="L31:O31"/>
    <mergeCell ref="H27:I27"/>
    <mergeCell ref="J27:K27"/>
    <mergeCell ref="C28:E28"/>
    <mergeCell ref="C29:E29"/>
    <mergeCell ref="F27:G27"/>
    <mergeCell ref="H25:I25"/>
    <mergeCell ref="J25:K25"/>
    <mergeCell ref="H26:I26"/>
    <mergeCell ref="J26:K26"/>
    <mergeCell ref="C22:E22"/>
    <mergeCell ref="C23:E23"/>
    <mergeCell ref="P22:Q22"/>
    <mergeCell ref="R22:S22"/>
    <mergeCell ref="T22:U22"/>
    <mergeCell ref="C25:E25"/>
    <mergeCell ref="F17:G17"/>
    <mergeCell ref="F18:G18"/>
    <mergeCell ref="F19:G19"/>
    <mergeCell ref="F20:G20"/>
    <mergeCell ref="F21:G21"/>
    <mergeCell ref="F22:G22"/>
    <mergeCell ref="F23:G23"/>
    <mergeCell ref="C17:E17"/>
    <mergeCell ref="C18:E18"/>
    <mergeCell ref="C19:E19"/>
    <mergeCell ref="C20:E20"/>
    <mergeCell ref="C21:E21"/>
    <mergeCell ref="F36:G36"/>
    <mergeCell ref="F35:G35"/>
    <mergeCell ref="F25:G25"/>
    <mergeCell ref="H36:I36"/>
    <mergeCell ref="J36:K36"/>
    <mergeCell ref="J28:K28"/>
    <mergeCell ref="H29:I29"/>
    <mergeCell ref="J29:K29"/>
    <mergeCell ref="H30:I30"/>
    <mergeCell ref="J30:K30"/>
    <mergeCell ref="H32:I32"/>
    <mergeCell ref="J32:K32"/>
    <mergeCell ref="H34:I34"/>
    <mergeCell ref="J34:K34"/>
    <mergeCell ref="H35:I35"/>
    <mergeCell ref="J35:K35"/>
    <mergeCell ref="H31:I31"/>
    <mergeCell ref="F34:G34"/>
    <mergeCell ref="F26:G26"/>
    <mergeCell ref="C35:E35"/>
    <mergeCell ref="C36:E36"/>
    <mergeCell ref="C33:E33"/>
    <mergeCell ref="C34:E34"/>
    <mergeCell ref="T36:U36"/>
    <mergeCell ref="V16:Z16"/>
    <mergeCell ref="V17:Z17"/>
    <mergeCell ref="V18:Z18"/>
    <mergeCell ref="V19:Z19"/>
    <mergeCell ref="V20:Z20"/>
    <mergeCell ref="V21:Z21"/>
    <mergeCell ref="P34:Q34"/>
    <mergeCell ref="R34:S34"/>
    <mergeCell ref="T34:U34"/>
    <mergeCell ref="P32:Q32"/>
    <mergeCell ref="R32:S32"/>
    <mergeCell ref="T32:U32"/>
    <mergeCell ref="P33:Q33"/>
    <mergeCell ref="R33:S33"/>
    <mergeCell ref="T33:U33"/>
    <mergeCell ref="T27:U27"/>
    <mergeCell ref="P28:Q28"/>
    <mergeCell ref="R28:S28"/>
    <mergeCell ref="T28:U28"/>
    <mergeCell ref="P35:Q35"/>
    <mergeCell ref="R35:S35"/>
    <mergeCell ref="V36:Z36"/>
    <mergeCell ref="L16:O16"/>
    <mergeCell ref="L17:O17"/>
    <mergeCell ref="L18:O18"/>
    <mergeCell ref="L19:O19"/>
    <mergeCell ref="L20:O20"/>
    <mergeCell ref="L21:O21"/>
    <mergeCell ref="V26:Z26"/>
    <mergeCell ref="V27:Z27"/>
    <mergeCell ref="V28:Z28"/>
    <mergeCell ref="V29:Z29"/>
    <mergeCell ref="V30:Z30"/>
    <mergeCell ref="V32:Z32"/>
    <mergeCell ref="V22:Z22"/>
    <mergeCell ref="V23:Z23"/>
    <mergeCell ref="V24:Z24"/>
    <mergeCell ref="V25:Z25"/>
    <mergeCell ref="T35:U35"/>
    <mergeCell ref="L34:O34"/>
    <mergeCell ref="L35:O35"/>
    <mergeCell ref="T23:U23"/>
    <mergeCell ref="L23:O23"/>
    <mergeCell ref="L36:O36"/>
    <mergeCell ref="L26:O26"/>
    <mergeCell ref="P36:Q36"/>
    <mergeCell ref="R36:S36"/>
    <mergeCell ref="V34:Z34"/>
    <mergeCell ref="V35:Z35"/>
    <mergeCell ref="P27:Q27"/>
    <mergeCell ref="T29:U29"/>
    <mergeCell ref="P24:Q24"/>
    <mergeCell ref="R24:S24"/>
    <mergeCell ref="T24:U24"/>
    <mergeCell ref="P25:Q25"/>
    <mergeCell ref="R25:S25"/>
    <mergeCell ref="T25:U25"/>
    <mergeCell ref="R27:S27"/>
    <mergeCell ref="P26:Q26"/>
    <mergeCell ref="R26:S26"/>
    <mergeCell ref="T26:U26"/>
    <mergeCell ref="P31:Q31"/>
    <mergeCell ref="V33:Z33"/>
    <mergeCell ref="L33:O33"/>
    <mergeCell ref="P30:Q30"/>
    <mergeCell ref="R30:S30"/>
    <mergeCell ref="T30:U30"/>
    <mergeCell ref="R31:S31"/>
    <mergeCell ref="T31:U31"/>
    <mergeCell ref="V31:Z31"/>
    <mergeCell ref="L32:O32"/>
    <mergeCell ref="O10:P10"/>
    <mergeCell ref="V14:Z15"/>
    <mergeCell ref="T16:U16"/>
    <mergeCell ref="P18:Q18"/>
    <mergeCell ref="R18:S18"/>
    <mergeCell ref="T18:U18"/>
    <mergeCell ref="P19:Q19"/>
    <mergeCell ref="R19:S19"/>
    <mergeCell ref="T19:U19"/>
    <mergeCell ref="R14:S15"/>
    <mergeCell ref="L14:O15"/>
    <mergeCell ref="T14:U15"/>
    <mergeCell ref="P14:Q15"/>
    <mergeCell ref="P23:Q23"/>
    <mergeCell ref="R23:S23"/>
    <mergeCell ref="P29:Q29"/>
    <mergeCell ref="R29:S29"/>
    <mergeCell ref="L30:O30"/>
    <mergeCell ref="G12:H12"/>
    <mergeCell ref="C12:D12"/>
    <mergeCell ref="S12:T12"/>
    <mergeCell ref="C10:D10"/>
    <mergeCell ref="S10:T10"/>
    <mergeCell ref="K12:L12"/>
    <mergeCell ref="G10:H10"/>
    <mergeCell ref="O12:P12"/>
    <mergeCell ref="K10:L10"/>
    <mergeCell ref="C16:E16"/>
    <mergeCell ref="F16:G16"/>
    <mergeCell ref="H16:I16"/>
    <mergeCell ref="J16:K16"/>
    <mergeCell ref="P16:Q16"/>
    <mergeCell ref="R16:S16"/>
    <mergeCell ref="C14:E15"/>
    <mergeCell ref="F14:G15"/>
    <mergeCell ref="H14:I15"/>
    <mergeCell ref="J14:K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boBox1">
          <controlPr locked="0" defaultSize="0" autoLine="0" listFillRange="Switch" r:id="rId5">
            <anchor moveWithCells="1">
              <from>
                <xdr:col>9</xdr:col>
                <xdr:colOff>0</xdr:colOff>
                <xdr:row>15</xdr:row>
                <xdr:rowOff>0</xdr:rowOff>
              </from>
              <to>
                <xdr:col>10</xdr:col>
                <xdr:colOff>533400</xdr:colOff>
                <xdr:row>16</xdr:row>
                <xdr:rowOff>7620</xdr:rowOff>
              </to>
            </anchor>
          </controlPr>
        </control>
      </mc:Choice>
      <mc:Fallback>
        <control shapeId="2051" r:id="rId4" name="ComboBox1"/>
      </mc:Fallback>
    </mc:AlternateContent>
    <mc:AlternateContent xmlns:mc="http://schemas.openxmlformats.org/markup-compatibility/2006">
      <mc:Choice Requires="x14">
        <control shapeId="2072" r:id="rId6" name="CommandButton1">
          <controlPr locked="0" defaultSize="0" autoLine="0" r:id="rId7">
            <anchor moveWithCells="1">
              <from>
                <xdr:col>21</xdr:col>
                <xdr:colOff>388620</xdr:colOff>
                <xdr:row>9</xdr:row>
                <xdr:rowOff>160020</xdr:rowOff>
              </from>
              <to>
                <xdr:col>24</xdr:col>
                <xdr:colOff>670560</xdr:colOff>
                <xdr:row>11</xdr:row>
                <xdr:rowOff>38100</xdr:rowOff>
              </to>
            </anchor>
          </controlPr>
        </control>
      </mc:Choice>
      <mc:Fallback>
        <control shapeId="2072" r:id="rId6" name="CommandButton1"/>
      </mc:Fallback>
    </mc:AlternateContent>
    <mc:AlternateContent xmlns:mc="http://schemas.openxmlformats.org/markup-compatibility/2006">
      <mc:Choice Requires="x14">
        <control shapeId="2162" r:id="rId8" name="ComboBox2">
          <controlPr locked="0" defaultSize="0" autoLine="0" listFillRange="Switch" r:id="rId9">
            <anchor moveWithCells="1">
              <from>
                <xdr:col>9</xdr:col>
                <xdr:colOff>0</xdr:colOff>
                <xdr:row>16</xdr:row>
                <xdr:rowOff>0</xdr:rowOff>
              </from>
              <to>
                <xdr:col>10</xdr:col>
                <xdr:colOff>533400</xdr:colOff>
                <xdr:row>17</xdr:row>
                <xdr:rowOff>7620</xdr:rowOff>
              </to>
            </anchor>
          </controlPr>
        </control>
      </mc:Choice>
      <mc:Fallback>
        <control shapeId="2162" r:id="rId8" name="ComboBox2"/>
      </mc:Fallback>
    </mc:AlternateContent>
    <mc:AlternateContent xmlns:mc="http://schemas.openxmlformats.org/markup-compatibility/2006">
      <mc:Choice Requires="x14">
        <control shapeId="2163" r:id="rId10" name="ComboBox3">
          <controlPr locked="0" defaultSize="0" autoLine="0" listFillRange="Switch" r:id="rId11">
            <anchor moveWithCells="1">
              <from>
                <xdr:col>9</xdr:col>
                <xdr:colOff>0</xdr:colOff>
                <xdr:row>17</xdr:row>
                <xdr:rowOff>0</xdr:rowOff>
              </from>
              <to>
                <xdr:col>10</xdr:col>
                <xdr:colOff>533400</xdr:colOff>
                <xdr:row>18</xdr:row>
                <xdr:rowOff>7620</xdr:rowOff>
              </to>
            </anchor>
          </controlPr>
        </control>
      </mc:Choice>
      <mc:Fallback>
        <control shapeId="2163" r:id="rId10" name="ComboBox3"/>
      </mc:Fallback>
    </mc:AlternateContent>
    <mc:AlternateContent xmlns:mc="http://schemas.openxmlformats.org/markup-compatibility/2006">
      <mc:Choice Requires="x14">
        <control shapeId="2164" r:id="rId12" name="ComboBox4">
          <controlPr locked="0" defaultSize="0" autoLine="0" listFillRange="Switch" r:id="rId13">
            <anchor moveWithCells="1">
              <from>
                <xdr:col>9</xdr:col>
                <xdr:colOff>0</xdr:colOff>
                <xdr:row>18</xdr:row>
                <xdr:rowOff>0</xdr:rowOff>
              </from>
              <to>
                <xdr:col>10</xdr:col>
                <xdr:colOff>533400</xdr:colOff>
                <xdr:row>19</xdr:row>
                <xdr:rowOff>7620</xdr:rowOff>
              </to>
            </anchor>
          </controlPr>
        </control>
      </mc:Choice>
      <mc:Fallback>
        <control shapeId="2164" r:id="rId12" name="ComboBox4"/>
      </mc:Fallback>
    </mc:AlternateContent>
    <mc:AlternateContent xmlns:mc="http://schemas.openxmlformats.org/markup-compatibility/2006">
      <mc:Choice Requires="x14">
        <control shapeId="2165" r:id="rId14" name="ComboBox5">
          <controlPr locked="0" defaultSize="0" autoLine="0" listFillRange="Switch" r:id="rId15">
            <anchor moveWithCells="1">
              <from>
                <xdr:col>9</xdr:col>
                <xdr:colOff>0</xdr:colOff>
                <xdr:row>19</xdr:row>
                <xdr:rowOff>0</xdr:rowOff>
              </from>
              <to>
                <xdr:col>10</xdr:col>
                <xdr:colOff>533400</xdr:colOff>
                <xdr:row>20</xdr:row>
                <xdr:rowOff>7620</xdr:rowOff>
              </to>
            </anchor>
          </controlPr>
        </control>
      </mc:Choice>
      <mc:Fallback>
        <control shapeId="2165" r:id="rId14" name="ComboBox5"/>
      </mc:Fallback>
    </mc:AlternateContent>
    <mc:AlternateContent xmlns:mc="http://schemas.openxmlformats.org/markup-compatibility/2006">
      <mc:Choice Requires="x14">
        <control shapeId="2166" r:id="rId16" name="ComboBox6">
          <controlPr locked="0" defaultSize="0" autoLine="0" listFillRange="Switch" r:id="rId17">
            <anchor moveWithCells="1">
              <from>
                <xdr:col>9</xdr:col>
                <xdr:colOff>0</xdr:colOff>
                <xdr:row>20</xdr:row>
                <xdr:rowOff>0</xdr:rowOff>
              </from>
              <to>
                <xdr:col>10</xdr:col>
                <xdr:colOff>533400</xdr:colOff>
                <xdr:row>21</xdr:row>
                <xdr:rowOff>7620</xdr:rowOff>
              </to>
            </anchor>
          </controlPr>
        </control>
      </mc:Choice>
      <mc:Fallback>
        <control shapeId="2166" r:id="rId16" name="ComboBox6"/>
      </mc:Fallback>
    </mc:AlternateContent>
    <mc:AlternateContent xmlns:mc="http://schemas.openxmlformats.org/markup-compatibility/2006">
      <mc:Choice Requires="x14">
        <control shapeId="2167" r:id="rId18" name="ComboBox7">
          <controlPr locked="0" defaultSize="0" autoLine="0" listFillRange="Switch" r:id="rId19">
            <anchor moveWithCells="1">
              <from>
                <xdr:col>9</xdr:col>
                <xdr:colOff>0</xdr:colOff>
                <xdr:row>21</xdr:row>
                <xdr:rowOff>0</xdr:rowOff>
              </from>
              <to>
                <xdr:col>10</xdr:col>
                <xdr:colOff>533400</xdr:colOff>
                <xdr:row>22</xdr:row>
                <xdr:rowOff>7620</xdr:rowOff>
              </to>
            </anchor>
          </controlPr>
        </control>
      </mc:Choice>
      <mc:Fallback>
        <control shapeId="2167" r:id="rId18" name="ComboBox7"/>
      </mc:Fallback>
    </mc:AlternateContent>
    <mc:AlternateContent xmlns:mc="http://schemas.openxmlformats.org/markup-compatibility/2006">
      <mc:Choice Requires="x14">
        <control shapeId="2168" r:id="rId20" name="ComboBox8">
          <controlPr locked="0" defaultSize="0" autoLine="0" listFillRange="Switch" r:id="rId21">
            <anchor moveWithCells="1">
              <from>
                <xdr:col>9</xdr:col>
                <xdr:colOff>0</xdr:colOff>
                <xdr:row>22</xdr:row>
                <xdr:rowOff>0</xdr:rowOff>
              </from>
              <to>
                <xdr:col>10</xdr:col>
                <xdr:colOff>533400</xdr:colOff>
                <xdr:row>23</xdr:row>
                <xdr:rowOff>7620</xdr:rowOff>
              </to>
            </anchor>
          </controlPr>
        </control>
      </mc:Choice>
      <mc:Fallback>
        <control shapeId="2168" r:id="rId20" name="ComboBox8"/>
      </mc:Fallback>
    </mc:AlternateContent>
    <mc:AlternateContent xmlns:mc="http://schemas.openxmlformats.org/markup-compatibility/2006">
      <mc:Choice Requires="x14">
        <control shapeId="2169" r:id="rId22" name="ComboBox9">
          <controlPr locked="0" defaultSize="0" autoLine="0" listFillRange="Switch" r:id="rId23">
            <anchor moveWithCells="1">
              <from>
                <xdr:col>9</xdr:col>
                <xdr:colOff>0</xdr:colOff>
                <xdr:row>23</xdr:row>
                <xdr:rowOff>0</xdr:rowOff>
              </from>
              <to>
                <xdr:col>10</xdr:col>
                <xdr:colOff>533400</xdr:colOff>
                <xdr:row>24</xdr:row>
                <xdr:rowOff>7620</xdr:rowOff>
              </to>
            </anchor>
          </controlPr>
        </control>
      </mc:Choice>
      <mc:Fallback>
        <control shapeId="2169" r:id="rId22" name="ComboBox9"/>
      </mc:Fallback>
    </mc:AlternateContent>
    <mc:AlternateContent xmlns:mc="http://schemas.openxmlformats.org/markup-compatibility/2006">
      <mc:Choice Requires="x14">
        <control shapeId="2170" r:id="rId24" name="ComboBox10">
          <controlPr locked="0" defaultSize="0" autoLine="0" listFillRange="Switch" r:id="rId25">
            <anchor moveWithCells="1">
              <from>
                <xdr:col>9</xdr:col>
                <xdr:colOff>0</xdr:colOff>
                <xdr:row>24</xdr:row>
                <xdr:rowOff>0</xdr:rowOff>
              </from>
              <to>
                <xdr:col>10</xdr:col>
                <xdr:colOff>533400</xdr:colOff>
                <xdr:row>25</xdr:row>
                <xdr:rowOff>7620</xdr:rowOff>
              </to>
            </anchor>
          </controlPr>
        </control>
      </mc:Choice>
      <mc:Fallback>
        <control shapeId="2170" r:id="rId24" name="ComboBox10"/>
      </mc:Fallback>
    </mc:AlternateContent>
    <mc:AlternateContent xmlns:mc="http://schemas.openxmlformats.org/markup-compatibility/2006">
      <mc:Choice Requires="x14">
        <control shapeId="2171" r:id="rId26" name="ComboBox11">
          <controlPr locked="0" defaultSize="0" autoLine="0" listFillRange="Switch" r:id="rId27">
            <anchor moveWithCells="1">
              <from>
                <xdr:col>9</xdr:col>
                <xdr:colOff>0</xdr:colOff>
                <xdr:row>25</xdr:row>
                <xdr:rowOff>0</xdr:rowOff>
              </from>
              <to>
                <xdr:col>10</xdr:col>
                <xdr:colOff>533400</xdr:colOff>
                <xdr:row>26</xdr:row>
                <xdr:rowOff>7620</xdr:rowOff>
              </to>
            </anchor>
          </controlPr>
        </control>
      </mc:Choice>
      <mc:Fallback>
        <control shapeId="2171" r:id="rId26" name="ComboBox11"/>
      </mc:Fallback>
    </mc:AlternateContent>
    <mc:AlternateContent xmlns:mc="http://schemas.openxmlformats.org/markup-compatibility/2006">
      <mc:Choice Requires="x14">
        <control shapeId="2172" r:id="rId28" name="ComboBox12">
          <controlPr locked="0" defaultSize="0" autoLine="0" listFillRange="Switch" r:id="rId29">
            <anchor moveWithCells="1">
              <from>
                <xdr:col>9</xdr:col>
                <xdr:colOff>0</xdr:colOff>
                <xdr:row>26</xdr:row>
                <xdr:rowOff>0</xdr:rowOff>
              </from>
              <to>
                <xdr:col>10</xdr:col>
                <xdr:colOff>533400</xdr:colOff>
                <xdr:row>27</xdr:row>
                <xdr:rowOff>7620</xdr:rowOff>
              </to>
            </anchor>
          </controlPr>
        </control>
      </mc:Choice>
      <mc:Fallback>
        <control shapeId="2172" r:id="rId28" name="ComboBox12"/>
      </mc:Fallback>
    </mc:AlternateContent>
    <mc:AlternateContent xmlns:mc="http://schemas.openxmlformats.org/markup-compatibility/2006">
      <mc:Choice Requires="x14">
        <control shapeId="2173" r:id="rId30" name="ComboBox13">
          <controlPr locked="0" defaultSize="0" autoLine="0" listFillRange="Switch" r:id="rId31">
            <anchor moveWithCells="1">
              <from>
                <xdr:col>9</xdr:col>
                <xdr:colOff>0</xdr:colOff>
                <xdr:row>27</xdr:row>
                <xdr:rowOff>0</xdr:rowOff>
              </from>
              <to>
                <xdr:col>10</xdr:col>
                <xdr:colOff>533400</xdr:colOff>
                <xdr:row>28</xdr:row>
                <xdr:rowOff>7620</xdr:rowOff>
              </to>
            </anchor>
          </controlPr>
        </control>
      </mc:Choice>
      <mc:Fallback>
        <control shapeId="2173" r:id="rId30" name="ComboBox13"/>
      </mc:Fallback>
    </mc:AlternateContent>
    <mc:AlternateContent xmlns:mc="http://schemas.openxmlformats.org/markup-compatibility/2006">
      <mc:Choice Requires="x14">
        <control shapeId="2174" r:id="rId32" name="ComboBox14">
          <controlPr locked="0" defaultSize="0" autoLine="0" listFillRange="Switch" r:id="rId33">
            <anchor moveWithCells="1">
              <from>
                <xdr:col>9</xdr:col>
                <xdr:colOff>0</xdr:colOff>
                <xdr:row>28</xdr:row>
                <xdr:rowOff>0</xdr:rowOff>
              </from>
              <to>
                <xdr:col>10</xdr:col>
                <xdr:colOff>533400</xdr:colOff>
                <xdr:row>29</xdr:row>
                <xdr:rowOff>7620</xdr:rowOff>
              </to>
            </anchor>
          </controlPr>
        </control>
      </mc:Choice>
      <mc:Fallback>
        <control shapeId="2174" r:id="rId32" name="ComboBox14"/>
      </mc:Fallback>
    </mc:AlternateContent>
    <mc:AlternateContent xmlns:mc="http://schemas.openxmlformats.org/markup-compatibility/2006">
      <mc:Choice Requires="x14">
        <control shapeId="2175" r:id="rId34" name="ComboBox15">
          <controlPr locked="0" defaultSize="0" autoLine="0" listFillRange="Switch" r:id="rId35">
            <anchor moveWithCells="1">
              <from>
                <xdr:col>9</xdr:col>
                <xdr:colOff>0</xdr:colOff>
                <xdr:row>29</xdr:row>
                <xdr:rowOff>0</xdr:rowOff>
              </from>
              <to>
                <xdr:col>10</xdr:col>
                <xdr:colOff>533400</xdr:colOff>
                <xdr:row>30</xdr:row>
                <xdr:rowOff>7620</xdr:rowOff>
              </to>
            </anchor>
          </controlPr>
        </control>
      </mc:Choice>
      <mc:Fallback>
        <control shapeId="2175" r:id="rId34" name="ComboBox15"/>
      </mc:Fallback>
    </mc:AlternateContent>
    <mc:AlternateContent xmlns:mc="http://schemas.openxmlformats.org/markup-compatibility/2006">
      <mc:Choice Requires="x14">
        <control shapeId="2176" r:id="rId36" name="ComboBox16">
          <controlPr locked="0" defaultSize="0" autoLine="0" listFillRange="Switch" r:id="rId37">
            <anchor moveWithCells="1">
              <from>
                <xdr:col>9</xdr:col>
                <xdr:colOff>0</xdr:colOff>
                <xdr:row>30</xdr:row>
                <xdr:rowOff>0</xdr:rowOff>
              </from>
              <to>
                <xdr:col>10</xdr:col>
                <xdr:colOff>533400</xdr:colOff>
                <xdr:row>31</xdr:row>
                <xdr:rowOff>7620</xdr:rowOff>
              </to>
            </anchor>
          </controlPr>
        </control>
      </mc:Choice>
      <mc:Fallback>
        <control shapeId="2176" r:id="rId36" name="ComboBox16"/>
      </mc:Fallback>
    </mc:AlternateContent>
    <mc:AlternateContent xmlns:mc="http://schemas.openxmlformats.org/markup-compatibility/2006">
      <mc:Choice Requires="x14">
        <control shapeId="2177" r:id="rId38" name="ComboBox17">
          <controlPr locked="0" defaultSize="0" autoLine="0" listFillRange="Switch" r:id="rId39">
            <anchor moveWithCells="1">
              <from>
                <xdr:col>9</xdr:col>
                <xdr:colOff>0</xdr:colOff>
                <xdr:row>31</xdr:row>
                <xdr:rowOff>0</xdr:rowOff>
              </from>
              <to>
                <xdr:col>10</xdr:col>
                <xdr:colOff>533400</xdr:colOff>
                <xdr:row>32</xdr:row>
                <xdr:rowOff>7620</xdr:rowOff>
              </to>
            </anchor>
          </controlPr>
        </control>
      </mc:Choice>
      <mc:Fallback>
        <control shapeId="2177" r:id="rId38" name="ComboBox17"/>
      </mc:Fallback>
    </mc:AlternateContent>
    <mc:AlternateContent xmlns:mc="http://schemas.openxmlformats.org/markup-compatibility/2006">
      <mc:Choice Requires="x14">
        <control shapeId="2178" r:id="rId40" name="ComboBox18">
          <controlPr locked="0" defaultSize="0" autoLine="0" listFillRange="Switch" r:id="rId41">
            <anchor moveWithCells="1">
              <from>
                <xdr:col>9</xdr:col>
                <xdr:colOff>0</xdr:colOff>
                <xdr:row>32</xdr:row>
                <xdr:rowOff>0</xdr:rowOff>
              </from>
              <to>
                <xdr:col>10</xdr:col>
                <xdr:colOff>533400</xdr:colOff>
                <xdr:row>33</xdr:row>
                <xdr:rowOff>7620</xdr:rowOff>
              </to>
            </anchor>
          </controlPr>
        </control>
      </mc:Choice>
      <mc:Fallback>
        <control shapeId="2178" r:id="rId40" name="ComboBox18"/>
      </mc:Fallback>
    </mc:AlternateContent>
    <mc:AlternateContent xmlns:mc="http://schemas.openxmlformats.org/markup-compatibility/2006">
      <mc:Choice Requires="x14">
        <control shapeId="2179" r:id="rId42" name="ComboBox19">
          <controlPr locked="0" defaultSize="0" autoLine="0" listFillRange="Switch" r:id="rId43">
            <anchor moveWithCells="1">
              <from>
                <xdr:col>9</xdr:col>
                <xdr:colOff>0</xdr:colOff>
                <xdr:row>33</xdr:row>
                <xdr:rowOff>0</xdr:rowOff>
              </from>
              <to>
                <xdr:col>10</xdr:col>
                <xdr:colOff>533400</xdr:colOff>
                <xdr:row>34</xdr:row>
                <xdr:rowOff>7620</xdr:rowOff>
              </to>
            </anchor>
          </controlPr>
        </control>
      </mc:Choice>
      <mc:Fallback>
        <control shapeId="2179" r:id="rId42" name="ComboBox19"/>
      </mc:Fallback>
    </mc:AlternateContent>
    <mc:AlternateContent xmlns:mc="http://schemas.openxmlformats.org/markup-compatibility/2006">
      <mc:Choice Requires="x14">
        <control shapeId="2180" r:id="rId44" name="ComboBox20">
          <controlPr locked="0" defaultSize="0" autoLine="0" listFillRange="Switch" r:id="rId45">
            <anchor moveWithCells="1">
              <from>
                <xdr:col>9</xdr:col>
                <xdr:colOff>0</xdr:colOff>
                <xdr:row>34</xdr:row>
                <xdr:rowOff>0</xdr:rowOff>
              </from>
              <to>
                <xdr:col>10</xdr:col>
                <xdr:colOff>533400</xdr:colOff>
                <xdr:row>35</xdr:row>
                <xdr:rowOff>7620</xdr:rowOff>
              </to>
            </anchor>
          </controlPr>
        </control>
      </mc:Choice>
      <mc:Fallback>
        <control shapeId="2180" r:id="rId44" name="ComboBox20"/>
      </mc:Fallback>
    </mc:AlternateContent>
    <mc:AlternateContent xmlns:mc="http://schemas.openxmlformats.org/markup-compatibility/2006">
      <mc:Choice Requires="x14">
        <control shapeId="2181" r:id="rId46" name="ComboBox21">
          <controlPr locked="0" defaultSize="0" autoLine="0" listFillRange="Switch" r:id="rId47">
            <anchor moveWithCells="1">
              <from>
                <xdr:col>9</xdr:col>
                <xdr:colOff>0</xdr:colOff>
                <xdr:row>35</xdr:row>
                <xdr:rowOff>0</xdr:rowOff>
              </from>
              <to>
                <xdr:col>10</xdr:col>
                <xdr:colOff>533400</xdr:colOff>
                <xdr:row>36</xdr:row>
                <xdr:rowOff>7620</xdr:rowOff>
              </to>
            </anchor>
          </controlPr>
        </control>
      </mc:Choice>
      <mc:Fallback>
        <control shapeId="2181" r:id="rId46" name="ComboBox2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/>
  </sheetPr>
  <dimension ref="A1:C7"/>
  <sheetViews>
    <sheetView workbookViewId="0"/>
  </sheetViews>
  <sheetFormatPr defaultRowHeight="16.8" x14ac:dyDescent="0.4"/>
  <cols>
    <col min="1" max="1" width="18.69921875" bestFit="1" customWidth="1"/>
    <col min="2" max="2" width="28.59765625" bestFit="1" customWidth="1"/>
  </cols>
  <sheetData>
    <row r="1" spans="1:3" x14ac:dyDescent="0.4">
      <c r="A1" s="134" t="s">
        <v>685</v>
      </c>
      <c r="B1" s="134" t="s">
        <v>36</v>
      </c>
      <c r="C1" s="134"/>
    </row>
    <row r="2" spans="1:3" x14ac:dyDescent="0.4">
      <c r="A2" s="134" t="s">
        <v>686</v>
      </c>
      <c r="B2" s="134" t="s">
        <v>687</v>
      </c>
      <c r="C2" s="134"/>
    </row>
    <row r="3" spans="1:3" x14ac:dyDescent="0.4">
      <c r="A3" s="134" t="s">
        <v>688</v>
      </c>
      <c r="B3" s="134" t="s">
        <v>689</v>
      </c>
      <c r="C3" s="134"/>
    </row>
    <row r="4" spans="1:3" x14ac:dyDescent="0.4">
      <c r="A4" s="134" t="s">
        <v>690</v>
      </c>
      <c r="B4" s="134">
        <v>2</v>
      </c>
      <c r="C4" s="134"/>
    </row>
    <row r="5" spans="1:3" x14ac:dyDescent="0.4">
      <c r="A5" s="134" t="s">
        <v>691</v>
      </c>
      <c r="B5" s="134">
        <v>361</v>
      </c>
      <c r="C5" s="134"/>
    </row>
    <row r="6" spans="1:3" x14ac:dyDescent="0.4">
      <c r="A6" s="134" t="s">
        <v>692</v>
      </c>
      <c r="B6" s="135" t="s">
        <v>879</v>
      </c>
      <c r="C6" s="134"/>
    </row>
    <row r="7" spans="1:3" x14ac:dyDescent="0.4">
      <c r="A7" s="134" t="s">
        <v>693</v>
      </c>
      <c r="B7" s="134" t="s">
        <v>851</v>
      </c>
      <c r="C7" s="134"/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/>
  </sheetPr>
  <dimension ref="A1:T28"/>
  <sheetViews>
    <sheetView workbookViewId="0">
      <pane ySplit="1" topLeftCell="A2" activePane="bottomLeft" state="frozenSplit"/>
      <selection pane="bottomLeft" activeCell="J29" sqref="J29"/>
    </sheetView>
  </sheetViews>
  <sheetFormatPr defaultRowHeight="16.8" x14ac:dyDescent="0.4"/>
  <cols>
    <col min="1" max="1" width="6.59765625" bestFit="1" customWidth="1"/>
    <col min="2" max="2" width="8.19921875" bestFit="1" customWidth="1"/>
    <col min="3" max="3" width="24.09765625" bestFit="1" customWidth="1"/>
    <col min="4" max="4" width="11.8984375" bestFit="1" customWidth="1"/>
    <col min="6" max="6" width="11.09765625" bestFit="1" customWidth="1"/>
    <col min="7" max="7" width="10.59765625" bestFit="1" customWidth="1"/>
    <col min="8" max="8" width="24.09765625" hidden="1" customWidth="1"/>
    <col min="9" max="9" width="13.19921875" bestFit="1" customWidth="1"/>
    <col min="10" max="10" width="7.19921875" bestFit="1" customWidth="1"/>
    <col min="11" max="11" width="18" bestFit="1" customWidth="1"/>
    <col min="12" max="12" width="7.09765625" bestFit="1" customWidth="1"/>
    <col min="13" max="13" width="8.59765625" bestFit="1" customWidth="1"/>
    <col min="14" max="14" width="10.59765625" bestFit="1" customWidth="1"/>
    <col min="15" max="15" width="25.59765625" bestFit="1" customWidth="1"/>
    <col min="16" max="16" width="37.09765625" hidden="1" customWidth="1"/>
    <col min="17" max="17" width="27.3984375" hidden="1" customWidth="1"/>
    <col min="18" max="18" width="17.09765625" hidden="1" customWidth="1"/>
    <col min="19" max="19" width="20.8984375" hidden="1" customWidth="1"/>
    <col min="20" max="20" width="255.59765625" hidden="1" customWidth="1"/>
  </cols>
  <sheetData>
    <row r="1" spans="1:20" x14ac:dyDescent="0.4">
      <c r="A1" t="s">
        <v>694</v>
      </c>
      <c r="B1" t="s">
        <v>695</v>
      </c>
      <c r="C1" t="s">
        <v>696</v>
      </c>
      <c r="D1" t="s">
        <v>697</v>
      </c>
      <c r="E1" t="s">
        <v>29</v>
      </c>
      <c r="F1" t="s">
        <v>698</v>
      </c>
      <c r="G1" t="s">
        <v>17</v>
      </c>
      <c r="H1" t="s">
        <v>699</v>
      </c>
      <c r="I1" t="s">
        <v>700</v>
      </c>
      <c r="J1" t="s">
        <v>701</v>
      </c>
      <c r="K1" t="s">
        <v>702</v>
      </c>
      <c r="L1" t="s">
        <v>703</v>
      </c>
      <c r="M1" t="s">
        <v>704</v>
      </c>
      <c r="N1" t="s">
        <v>705</v>
      </c>
      <c r="O1" t="s">
        <v>706</v>
      </c>
      <c r="P1" t="s">
        <v>707</v>
      </c>
      <c r="Q1" t="s">
        <v>708</v>
      </c>
      <c r="R1" t="s">
        <v>709</v>
      </c>
      <c r="S1" t="s">
        <v>710</v>
      </c>
      <c r="T1" t="s">
        <v>711</v>
      </c>
    </row>
    <row r="2" spans="1:20" s="141" customFormat="1" x14ac:dyDescent="0.4">
      <c r="A2" s="142" t="s">
        <v>712</v>
      </c>
      <c r="B2" s="142" t="s">
        <v>42</v>
      </c>
      <c r="C2" s="142" t="s">
        <v>644</v>
      </c>
      <c r="D2" s="143" t="s">
        <v>35</v>
      </c>
      <c r="E2" s="143" t="s">
        <v>228</v>
      </c>
      <c r="F2" s="143" t="s">
        <v>35</v>
      </c>
      <c r="G2" s="143" t="s">
        <v>713</v>
      </c>
      <c r="H2" s="142" t="s">
        <v>644</v>
      </c>
      <c r="I2" s="142" t="str">
        <f t="shared" ref="I2:I28" si="0">IF(G2="COMPUTED",D2,IF(G2="MANUAL",E2,F2))</f>
        <v>Fixed</v>
      </c>
      <c r="J2" s="142" t="s">
        <v>35</v>
      </c>
      <c r="K2" s="142" t="s">
        <v>714</v>
      </c>
      <c r="L2" s="142"/>
      <c r="M2" s="142"/>
      <c r="N2" s="142"/>
      <c r="O2" s="142"/>
      <c r="P2" s="142" t="s">
        <v>715</v>
      </c>
      <c r="Q2" s="142" t="s">
        <v>716</v>
      </c>
      <c r="R2" s="144" t="s">
        <v>35</v>
      </c>
      <c r="S2" s="144" t="s">
        <v>228</v>
      </c>
      <c r="T2" s="143" t="s">
        <v>852</v>
      </c>
    </row>
    <row r="3" spans="1:20" s="141" customFormat="1" x14ac:dyDescent="0.4">
      <c r="A3" s="142" t="s">
        <v>712</v>
      </c>
      <c r="B3" s="142" t="s">
        <v>42</v>
      </c>
      <c r="C3" s="142" t="s">
        <v>645</v>
      </c>
      <c r="D3" s="143" t="s">
        <v>35</v>
      </c>
      <c r="E3" s="143" t="s">
        <v>231</v>
      </c>
      <c r="F3" s="143" t="s">
        <v>35</v>
      </c>
      <c r="G3" s="143" t="s">
        <v>713</v>
      </c>
      <c r="H3" s="142" t="s">
        <v>645</v>
      </c>
      <c r="I3" s="142" t="str">
        <f t="shared" si="0"/>
        <v>3-axis</v>
      </c>
      <c r="J3" s="142" t="s">
        <v>35</v>
      </c>
      <c r="K3" s="142" t="s">
        <v>717</v>
      </c>
      <c r="L3" s="142"/>
      <c r="M3" s="142"/>
      <c r="N3" s="142"/>
      <c r="O3" s="142"/>
      <c r="P3" s="142" t="s">
        <v>718</v>
      </c>
      <c r="Q3" s="142" t="s">
        <v>716</v>
      </c>
      <c r="R3" s="144" t="s">
        <v>35</v>
      </c>
      <c r="S3" s="144" t="s">
        <v>231</v>
      </c>
      <c r="T3" s="143" t="s">
        <v>853</v>
      </c>
    </row>
    <row r="4" spans="1:20" s="141" customFormat="1" x14ac:dyDescent="0.4">
      <c r="A4" s="142" t="s">
        <v>712</v>
      </c>
      <c r="B4" s="142" t="s">
        <v>42</v>
      </c>
      <c r="C4" s="142" t="s">
        <v>646</v>
      </c>
      <c r="D4" s="143" t="s">
        <v>35</v>
      </c>
      <c r="E4" s="143">
        <v>60</v>
      </c>
      <c r="F4" s="143" t="s">
        <v>35</v>
      </c>
      <c r="G4" s="143" t="s">
        <v>713</v>
      </c>
      <c r="H4" s="142" t="s">
        <v>646</v>
      </c>
      <c r="I4" s="142">
        <f t="shared" si="0"/>
        <v>60</v>
      </c>
      <c r="J4" s="142" t="s">
        <v>184</v>
      </c>
      <c r="K4" s="142" t="s">
        <v>720</v>
      </c>
      <c r="L4" s="142"/>
      <c r="M4" s="142"/>
      <c r="N4" s="142"/>
      <c r="O4" s="142"/>
      <c r="P4" s="142" t="s">
        <v>721</v>
      </c>
      <c r="Q4" s="142" t="s">
        <v>716</v>
      </c>
      <c r="R4" s="144" t="s">
        <v>35</v>
      </c>
      <c r="S4" s="144" t="s">
        <v>854</v>
      </c>
      <c r="T4" s="143" t="s">
        <v>855</v>
      </c>
    </row>
    <row r="5" spans="1:20" s="141" customFormat="1" x14ac:dyDescent="0.4">
      <c r="A5" s="142" t="s">
        <v>712</v>
      </c>
      <c r="B5" s="142" t="s">
        <v>42</v>
      </c>
      <c r="C5" s="142" t="s">
        <v>647</v>
      </c>
      <c r="D5" s="143" t="s">
        <v>35</v>
      </c>
      <c r="E5" s="143">
        <v>0.13500000000000001</v>
      </c>
      <c r="F5" s="143" t="s">
        <v>35</v>
      </c>
      <c r="G5" s="143" t="s">
        <v>713</v>
      </c>
      <c r="H5" s="142" t="s">
        <v>647</v>
      </c>
      <c r="I5" s="142">
        <f t="shared" si="0"/>
        <v>0.13500000000000001</v>
      </c>
      <c r="J5" s="142" t="s">
        <v>110</v>
      </c>
      <c r="K5" s="142" t="s">
        <v>722</v>
      </c>
      <c r="L5" s="142"/>
      <c r="M5" s="142"/>
      <c r="N5" s="142"/>
      <c r="O5" s="142"/>
      <c r="P5" s="142" t="s">
        <v>723</v>
      </c>
      <c r="Q5" s="142" t="s">
        <v>716</v>
      </c>
      <c r="R5" s="144" t="s">
        <v>35</v>
      </c>
      <c r="S5" s="144" t="s">
        <v>856</v>
      </c>
      <c r="T5" s="143" t="s">
        <v>880</v>
      </c>
    </row>
    <row r="6" spans="1:20" s="141" customFormat="1" x14ac:dyDescent="0.4">
      <c r="A6" s="142" t="s">
        <v>712</v>
      </c>
      <c r="B6" s="142" t="s">
        <v>42</v>
      </c>
      <c r="C6" s="142" t="s">
        <v>648</v>
      </c>
      <c r="D6" s="143" t="s">
        <v>35</v>
      </c>
      <c r="E6" s="143">
        <v>-10</v>
      </c>
      <c r="F6" s="143" t="s">
        <v>35</v>
      </c>
      <c r="G6" s="143" t="s">
        <v>713</v>
      </c>
      <c r="H6" s="142" t="s">
        <v>648</v>
      </c>
      <c r="I6" s="142">
        <f t="shared" si="0"/>
        <v>-10</v>
      </c>
      <c r="J6" s="142" t="s">
        <v>184</v>
      </c>
      <c r="K6" s="142" t="s">
        <v>724</v>
      </c>
      <c r="L6" s="142"/>
      <c r="M6" s="142"/>
      <c r="N6" s="142"/>
      <c r="O6" s="142"/>
      <c r="P6" s="142" t="s">
        <v>725</v>
      </c>
      <c r="Q6" s="142" t="s">
        <v>716</v>
      </c>
      <c r="R6" s="144" t="s">
        <v>35</v>
      </c>
      <c r="S6" s="144" t="s">
        <v>857</v>
      </c>
      <c r="T6" s="143" t="s">
        <v>858</v>
      </c>
    </row>
    <row r="7" spans="1:20" s="141" customFormat="1" x14ac:dyDescent="0.4">
      <c r="A7" s="142" t="s">
        <v>712</v>
      </c>
      <c r="B7" s="142" t="s">
        <v>42</v>
      </c>
      <c r="C7" s="142" t="s">
        <v>649</v>
      </c>
      <c r="D7" s="143" t="s">
        <v>35</v>
      </c>
      <c r="E7" s="143">
        <v>2</v>
      </c>
      <c r="F7" s="143" t="s">
        <v>35</v>
      </c>
      <c r="G7" s="143" t="s">
        <v>713</v>
      </c>
      <c r="H7" s="142" t="s">
        <v>649</v>
      </c>
      <c r="I7" s="142">
        <f t="shared" si="0"/>
        <v>2</v>
      </c>
      <c r="J7" s="142" t="s">
        <v>35</v>
      </c>
      <c r="K7" s="142" t="s">
        <v>726</v>
      </c>
      <c r="L7" s="142"/>
      <c r="M7" s="142"/>
      <c r="N7" s="142"/>
      <c r="O7" s="142"/>
      <c r="P7" s="142" t="s">
        <v>727</v>
      </c>
      <c r="Q7" s="142" t="s">
        <v>716</v>
      </c>
      <c r="R7" s="144" t="s">
        <v>35</v>
      </c>
      <c r="S7" s="144" t="s">
        <v>859</v>
      </c>
      <c r="T7" s="143" t="s">
        <v>860</v>
      </c>
    </row>
    <row r="8" spans="1:20" s="141" customFormat="1" x14ac:dyDescent="0.4">
      <c r="A8" s="142" t="s">
        <v>712</v>
      </c>
      <c r="B8" s="142" t="s">
        <v>42</v>
      </c>
      <c r="C8" s="142" t="s">
        <v>650</v>
      </c>
      <c r="D8" s="143" t="s">
        <v>35</v>
      </c>
      <c r="E8" s="143" t="s">
        <v>262</v>
      </c>
      <c r="F8" s="143" t="s">
        <v>35</v>
      </c>
      <c r="G8" s="143" t="s">
        <v>713</v>
      </c>
      <c r="H8" s="142" t="s">
        <v>650</v>
      </c>
      <c r="I8" s="142" t="str">
        <f t="shared" si="0"/>
        <v>Z</v>
      </c>
      <c r="J8" s="142" t="s">
        <v>35</v>
      </c>
      <c r="K8" s="142" t="s">
        <v>728</v>
      </c>
      <c r="L8" s="142"/>
      <c r="M8" s="142"/>
      <c r="N8" s="142"/>
      <c r="O8" s="142"/>
      <c r="P8" s="142" t="s">
        <v>729</v>
      </c>
      <c r="Q8" s="142" t="s">
        <v>716</v>
      </c>
      <c r="R8" s="144" t="s">
        <v>35</v>
      </c>
      <c r="S8" s="144" t="s">
        <v>262</v>
      </c>
      <c r="T8" s="143" t="s">
        <v>861</v>
      </c>
    </row>
    <row r="9" spans="1:20" s="141" customFormat="1" x14ac:dyDescent="0.4">
      <c r="A9" s="142" t="s">
        <v>712</v>
      </c>
      <c r="B9" s="142" t="s">
        <v>42</v>
      </c>
      <c r="C9" s="142" t="s">
        <v>651</v>
      </c>
      <c r="D9" s="143" t="s">
        <v>35</v>
      </c>
      <c r="E9" s="143">
        <v>0</v>
      </c>
      <c r="F9" s="143" t="s">
        <v>35</v>
      </c>
      <c r="G9" s="143" t="s">
        <v>713</v>
      </c>
      <c r="H9" s="142" t="s">
        <v>651</v>
      </c>
      <c r="I9" s="142">
        <f t="shared" si="0"/>
        <v>0</v>
      </c>
      <c r="J9" s="142" t="s">
        <v>216</v>
      </c>
      <c r="K9" s="142" t="s">
        <v>730</v>
      </c>
      <c r="L9" s="142"/>
      <c r="M9" s="142"/>
      <c r="N9" s="142"/>
      <c r="O9" s="142"/>
      <c r="P9" s="142" t="s">
        <v>731</v>
      </c>
      <c r="Q9" s="142" t="s">
        <v>716</v>
      </c>
      <c r="R9" s="144" t="s">
        <v>35</v>
      </c>
      <c r="S9" s="144" t="s">
        <v>856</v>
      </c>
      <c r="T9" s="143" t="s">
        <v>862</v>
      </c>
    </row>
    <row r="10" spans="1:20" s="141" customFormat="1" x14ac:dyDescent="0.4">
      <c r="A10" s="142" t="s">
        <v>712</v>
      </c>
      <c r="B10" s="142" t="s">
        <v>42</v>
      </c>
      <c r="C10" s="142" t="s">
        <v>652</v>
      </c>
      <c r="D10" s="143" t="s">
        <v>35</v>
      </c>
      <c r="E10" s="143">
        <v>0</v>
      </c>
      <c r="F10" s="143" t="s">
        <v>35</v>
      </c>
      <c r="G10" s="143" t="s">
        <v>713</v>
      </c>
      <c r="H10" s="142" t="s">
        <v>652</v>
      </c>
      <c r="I10" s="142">
        <f t="shared" si="0"/>
        <v>0</v>
      </c>
      <c r="J10" s="142" t="s">
        <v>174</v>
      </c>
      <c r="K10" s="142" t="s">
        <v>732</v>
      </c>
      <c r="L10" s="142"/>
      <c r="M10" s="142"/>
      <c r="N10" s="142"/>
      <c r="O10" s="142"/>
      <c r="P10" s="142" t="s">
        <v>733</v>
      </c>
      <c r="Q10" s="142" t="s">
        <v>716</v>
      </c>
      <c r="R10" s="144" t="s">
        <v>35</v>
      </c>
      <c r="S10" s="144" t="s">
        <v>863</v>
      </c>
      <c r="T10" s="143" t="s">
        <v>881</v>
      </c>
    </row>
    <row r="11" spans="1:20" s="141" customFormat="1" x14ac:dyDescent="0.4">
      <c r="A11" s="142" t="s">
        <v>712</v>
      </c>
      <c r="B11" s="142" t="s">
        <v>42</v>
      </c>
      <c r="C11" s="142" t="s">
        <v>653</v>
      </c>
      <c r="D11" s="143" t="s">
        <v>35</v>
      </c>
      <c r="E11" s="143">
        <v>2.9156086664757668E-8</v>
      </c>
      <c r="F11" s="143" t="s">
        <v>35</v>
      </c>
      <c r="G11" s="143" t="s">
        <v>713</v>
      </c>
      <c r="H11" s="142" t="s">
        <v>653</v>
      </c>
      <c r="I11" s="142">
        <f t="shared" si="0"/>
        <v>2.9156086664757668E-8</v>
      </c>
      <c r="J11" s="142" t="s">
        <v>173</v>
      </c>
      <c r="K11" s="142" t="s">
        <v>734</v>
      </c>
      <c r="L11" s="142"/>
      <c r="M11" s="142"/>
      <c r="N11" s="142"/>
      <c r="O11" s="142"/>
      <c r="P11" s="142" t="s">
        <v>735</v>
      </c>
      <c r="Q11" s="142" t="s">
        <v>716</v>
      </c>
      <c r="R11" s="144" t="s">
        <v>35</v>
      </c>
      <c r="S11" s="144" t="s">
        <v>856</v>
      </c>
      <c r="T11" s="143" t="s">
        <v>883</v>
      </c>
    </row>
    <row r="12" spans="1:20" s="141" customFormat="1" x14ac:dyDescent="0.4">
      <c r="A12" s="142" t="s">
        <v>712</v>
      </c>
      <c r="B12" s="142" t="s">
        <v>42</v>
      </c>
      <c r="C12" s="142" t="s">
        <v>654</v>
      </c>
      <c r="D12" s="143" t="s">
        <v>35</v>
      </c>
      <c r="E12" s="143">
        <v>0.93</v>
      </c>
      <c r="F12" s="143" t="s">
        <v>35</v>
      </c>
      <c r="G12" s="143" t="s">
        <v>713</v>
      </c>
      <c r="H12" s="142" t="s">
        <v>654</v>
      </c>
      <c r="I12" s="142">
        <f t="shared" si="0"/>
        <v>0.93</v>
      </c>
      <c r="J12" s="142" t="s">
        <v>172</v>
      </c>
      <c r="K12" s="142" t="s">
        <v>736</v>
      </c>
      <c r="L12" s="142"/>
      <c r="M12" s="142"/>
      <c r="N12" s="142"/>
      <c r="O12" s="142"/>
      <c r="P12" s="142" t="s">
        <v>737</v>
      </c>
      <c r="Q12" s="142" t="s">
        <v>716</v>
      </c>
      <c r="R12" s="144" t="s">
        <v>35</v>
      </c>
      <c r="S12" s="144" t="s">
        <v>864</v>
      </c>
      <c r="T12" s="143" t="s">
        <v>882</v>
      </c>
    </row>
    <row r="13" spans="1:20" s="141" customFormat="1" x14ac:dyDescent="0.4">
      <c r="A13" s="142" t="s">
        <v>712</v>
      </c>
      <c r="B13" s="142" t="s">
        <v>42</v>
      </c>
      <c r="C13" s="142" t="s">
        <v>655</v>
      </c>
      <c r="D13" s="143" t="s">
        <v>35</v>
      </c>
      <c r="E13" s="143">
        <v>3.78</v>
      </c>
      <c r="F13" s="143" t="s">
        <v>35</v>
      </c>
      <c r="G13" s="143" t="s">
        <v>713</v>
      </c>
      <c r="H13" s="142" t="s">
        <v>655</v>
      </c>
      <c r="I13" s="142">
        <f t="shared" si="0"/>
        <v>3.78</v>
      </c>
      <c r="J13" s="142" t="s">
        <v>41</v>
      </c>
      <c r="K13" s="142" t="s">
        <v>738</v>
      </c>
      <c r="L13" s="142"/>
      <c r="M13" s="142"/>
      <c r="N13" s="142"/>
      <c r="O13" s="142"/>
      <c r="P13" s="142" t="s">
        <v>739</v>
      </c>
      <c r="Q13" s="142" t="s">
        <v>716</v>
      </c>
      <c r="R13" s="144" t="s">
        <v>35</v>
      </c>
      <c r="S13" s="144" t="s">
        <v>876</v>
      </c>
      <c r="T13" s="143" t="s">
        <v>874</v>
      </c>
    </row>
    <row r="14" spans="1:20" s="141" customFormat="1" x14ac:dyDescent="0.4">
      <c r="A14" s="142" t="s">
        <v>740</v>
      </c>
      <c r="B14" s="142" t="s">
        <v>663</v>
      </c>
      <c r="C14" s="142" t="s">
        <v>673</v>
      </c>
      <c r="D14" s="142" t="s">
        <v>80</v>
      </c>
      <c r="E14" s="143" t="s">
        <v>35</v>
      </c>
      <c r="F14" s="142" t="s">
        <v>35</v>
      </c>
      <c r="G14" s="143" t="s">
        <v>741</v>
      </c>
      <c r="H14" s="142" t="s">
        <v>673</v>
      </c>
      <c r="I14" s="142" t="str">
        <f t="shared" si="0"/>
        <v>Earth</v>
      </c>
      <c r="J14" s="142"/>
      <c r="K14" s="142" t="s">
        <v>742</v>
      </c>
      <c r="L14" s="142"/>
      <c r="M14" s="142"/>
      <c r="N14" s="142"/>
      <c r="O14" s="142"/>
      <c r="P14" s="142" t="s">
        <v>743</v>
      </c>
      <c r="Q14" s="142" t="s">
        <v>744</v>
      </c>
      <c r="R14" s="142"/>
      <c r="S14" s="144" t="s">
        <v>80</v>
      </c>
      <c r="T14" s="143" t="s">
        <v>865</v>
      </c>
    </row>
    <row r="15" spans="1:20" s="141" customFormat="1" x14ac:dyDescent="0.4">
      <c r="A15" s="142" t="s">
        <v>740</v>
      </c>
      <c r="B15" s="142" t="s">
        <v>663</v>
      </c>
      <c r="C15" s="142" t="s">
        <v>669</v>
      </c>
      <c r="D15" s="142">
        <v>1322</v>
      </c>
      <c r="E15" s="143" t="s">
        <v>35</v>
      </c>
      <c r="F15" s="142" t="s">
        <v>35</v>
      </c>
      <c r="G15" s="143" t="s">
        <v>741</v>
      </c>
      <c r="H15" s="142" t="s">
        <v>669</v>
      </c>
      <c r="I15" s="142">
        <f t="shared" si="0"/>
        <v>1322</v>
      </c>
      <c r="J15" s="142" t="s">
        <v>745</v>
      </c>
      <c r="K15" s="142" t="s">
        <v>746</v>
      </c>
      <c r="L15" s="142"/>
      <c r="M15" s="142"/>
      <c r="N15" s="142"/>
      <c r="O15" s="142"/>
      <c r="P15" s="142" t="s">
        <v>747</v>
      </c>
      <c r="Q15" s="142" t="s">
        <v>744</v>
      </c>
      <c r="R15" s="142"/>
      <c r="S15" s="144" t="s">
        <v>877</v>
      </c>
      <c r="T15" s="143" t="s">
        <v>878</v>
      </c>
    </row>
    <row r="16" spans="1:20" s="141" customFormat="1" x14ac:dyDescent="0.4">
      <c r="A16" s="142" t="s">
        <v>740</v>
      </c>
      <c r="B16" s="142" t="s">
        <v>663</v>
      </c>
      <c r="C16" s="142" t="s">
        <v>670</v>
      </c>
      <c r="D16" s="145">
        <v>578160090.29999995</v>
      </c>
      <c r="E16" s="143" t="s">
        <v>35</v>
      </c>
      <c r="F16" s="142" t="s">
        <v>35</v>
      </c>
      <c r="G16" s="143" t="s">
        <v>741</v>
      </c>
      <c r="H16" s="142" t="s">
        <v>670</v>
      </c>
      <c r="I16" s="142">
        <f t="shared" si="0"/>
        <v>578160090.29999995</v>
      </c>
      <c r="J16" s="142" t="s">
        <v>174</v>
      </c>
      <c r="K16" s="142" t="s">
        <v>748</v>
      </c>
      <c r="L16" s="142"/>
      <c r="M16" s="142"/>
      <c r="N16" s="142"/>
      <c r="O16" s="142"/>
      <c r="P16" s="142" t="s">
        <v>749</v>
      </c>
      <c r="Q16" s="142" t="s">
        <v>744</v>
      </c>
      <c r="R16" s="142"/>
      <c r="S16" s="144" t="s">
        <v>866</v>
      </c>
      <c r="T16" s="143" t="s">
        <v>867</v>
      </c>
    </row>
    <row r="17" spans="1:20" s="141" customFormat="1" x14ac:dyDescent="0.4">
      <c r="A17" s="142" t="s">
        <v>740</v>
      </c>
      <c r="B17" s="142" t="s">
        <v>663</v>
      </c>
      <c r="C17" s="142" t="s">
        <v>677</v>
      </c>
      <c r="D17" s="145">
        <v>163.01</v>
      </c>
      <c r="E17" s="143" t="s">
        <v>35</v>
      </c>
      <c r="F17" s="142" t="s">
        <v>35</v>
      </c>
      <c r="G17" s="143" t="s">
        <v>741</v>
      </c>
      <c r="H17" s="142" t="s">
        <v>677</v>
      </c>
      <c r="I17" s="142">
        <f t="shared" si="0"/>
        <v>163.01</v>
      </c>
      <c r="J17" s="142" t="s">
        <v>59</v>
      </c>
      <c r="K17" s="142" t="s">
        <v>750</v>
      </c>
      <c r="L17" s="142"/>
      <c r="M17" s="142"/>
      <c r="N17" s="142"/>
      <c r="O17" s="142"/>
      <c r="P17" s="142" t="s">
        <v>751</v>
      </c>
      <c r="Q17" s="142" t="s">
        <v>744</v>
      </c>
      <c r="R17" s="142"/>
      <c r="S17" s="144" t="s">
        <v>868</v>
      </c>
      <c r="T17" s="143" t="s">
        <v>869</v>
      </c>
    </row>
    <row r="18" spans="1:20" s="141" customFormat="1" x14ac:dyDescent="0.4">
      <c r="A18" s="142" t="s">
        <v>740</v>
      </c>
      <c r="B18" s="142" t="s">
        <v>663</v>
      </c>
      <c r="C18" s="142" t="s">
        <v>680</v>
      </c>
      <c r="D18" s="142">
        <v>14993629000</v>
      </c>
      <c r="E18" s="143" t="s">
        <v>35</v>
      </c>
      <c r="F18" s="142" t="s">
        <v>35</v>
      </c>
      <c r="G18" s="143" t="s">
        <v>741</v>
      </c>
      <c r="H18" s="142" t="s">
        <v>680</v>
      </c>
      <c r="I18" s="142">
        <f t="shared" si="0"/>
        <v>14993629000</v>
      </c>
      <c r="J18" s="142" t="s">
        <v>752</v>
      </c>
      <c r="K18" s="142" t="s">
        <v>753</v>
      </c>
      <c r="L18" s="142"/>
      <c r="M18" s="142"/>
      <c r="N18" s="142"/>
      <c r="O18" s="142"/>
      <c r="P18" s="146" t="s">
        <v>754</v>
      </c>
      <c r="Q18" s="142" t="s">
        <v>744</v>
      </c>
      <c r="R18" s="142"/>
      <c r="S18" s="144" t="s">
        <v>870</v>
      </c>
      <c r="T18" s="143" t="s">
        <v>871</v>
      </c>
    </row>
    <row r="19" spans="1:20" s="141" customFormat="1" x14ac:dyDescent="0.4">
      <c r="A19" s="142" t="s">
        <v>740</v>
      </c>
      <c r="B19" s="142" t="s">
        <v>45</v>
      </c>
      <c r="C19" s="142" t="s">
        <v>668</v>
      </c>
      <c r="D19" s="142" t="s">
        <v>35</v>
      </c>
      <c r="E19" s="143" t="s">
        <v>35</v>
      </c>
      <c r="F19" s="142" t="s">
        <v>35</v>
      </c>
      <c r="G19" s="143" t="s">
        <v>741</v>
      </c>
      <c r="H19" s="142" t="s">
        <v>668</v>
      </c>
      <c r="I19" s="142" t="str">
        <f t="shared" si="0"/>
        <v>-</v>
      </c>
      <c r="J19" s="142" t="s">
        <v>35</v>
      </c>
      <c r="K19" s="142" t="s">
        <v>755</v>
      </c>
      <c r="L19" s="142"/>
      <c r="M19" s="142"/>
      <c r="N19" s="142"/>
      <c r="O19" s="142"/>
      <c r="P19" s="142" t="s">
        <v>756</v>
      </c>
      <c r="Q19" s="142" t="s">
        <v>744</v>
      </c>
      <c r="R19" s="142"/>
      <c r="S19" s="144" t="s">
        <v>35</v>
      </c>
      <c r="T19" s="143" t="s">
        <v>757</v>
      </c>
    </row>
    <row r="20" spans="1:20" s="141" customFormat="1" x14ac:dyDescent="0.4">
      <c r="A20" s="142" t="s">
        <v>740</v>
      </c>
      <c r="B20" s="142" t="s">
        <v>49</v>
      </c>
      <c r="C20" s="142" t="s">
        <v>664</v>
      </c>
      <c r="D20" s="142">
        <v>1</v>
      </c>
      <c r="E20" s="143" t="s">
        <v>35</v>
      </c>
      <c r="F20" s="142" t="s">
        <v>35</v>
      </c>
      <c r="G20" s="143" t="s">
        <v>741</v>
      </c>
      <c r="H20" s="142" t="s">
        <v>664</v>
      </c>
      <c r="I20" s="142">
        <f t="shared" si="0"/>
        <v>1</v>
      </c>
      <c r="J20" s="142" t="s">
        <v>35</v>
      </c>
      <c r="K20" s="142" t="s">
        <v>159</v>
      </c>
      <c r="L20" s="142"/>
      <c r="M20" s="142"/>
      <c r="N20" s="142"/>
      <c r="O20" s="142"/>
      <c r="P20" s="142" t="s">
        <v>758</v>
      </c>
      <c r="Q20" s="142" t="s">
        <v>744</v>
      </c>
      <c r="R20" s="142"/>
      <c r="S20" s="144" t="s">
        <v>759</v>
      </c>
      <c r="T20" s="143" t="s">
        <v>760</v>
      </c>
    </row>
    <row r="21" spans="1:20" s="141" customFormat="1" x14ac:dyDescent="0.4">
      <c r="A21" s="142" t="s">
        <v>740</v>
      </c>
      <c r="B21" s="142" t="s">
        <v>49</v>
      </c>
      <c r="C21" s="142" t="s">
        <v>665</v>
      </c>
      <c r="D21" s="145">
        <v>0.4</v>
      </c>
      <c r="E21" s="143" t="s">
        <v>35</v>
      </c>
      <c r="F21" s="142" t="s">
        <v>35</v>
      </c>
      <c r="G21" s="143" t="s">
        <v>741</v>
      </c>
      <c r="H21" s="142" t="s">
        <v>665</v>
      </c>
      <c r="I21" s="142">
        <f t="shared" si="0"/>
        <v>0.4</v>
      </c>
      <c r="J21" s="142" t="s">
        <v>762</v>
      </c>
      <c r="K21" s="142" t="s">
        <v>763</v>
      </c>
      <c r="L21" s="142"/>
      <c r="M21" s="142"/>
      <c r="N21" s="142"/>
      <c r="O21" s="142"/>
      <c r="P21" s="142" t="s">
        <v>764</v>
      </c>
      <c r="Q21" s="142" t="s">
        <v>744</v>
      </c>
      <c r="R21" s="142"/>
      <c r="S21" s="144" t="s">
        <v>761</v>
      </c>
      <c r="T21" s="143" t="s">
        <v>765</v>
      </c>
    </row>
    <row r="22" spans="1:20" s="141" customFormat="1" x14ac:dyDescent="0.4">
      <c r="A22" s="142" t="s">
        <v>740</v>
      </c>
      <c r="B22" s="142" t="s">
        <v>49</v>
      </c>
      <c r="C22" s="142" t="s">
        <v>666</v>
      </c>
      <c r="D22" s="145">
        <v>0.2</v>
      </c>
      <c r="E22" s="143" t="s">
        <v>35</v>
      </c>
      <c r="F22" s="142" t="s">
        <v>35</v>
      </c>
      <c r="G22" s="143" t="s">
        <v>741</v>
      </c>
      <c r="H22" s="142" t="s">
        <v>666</v>
      </c>
      <c r="I22" s="142">
        <f t="shared" si="0"/>
        <v>0.2</v>
      </c>
      <c r="J22" s="142" t="s">
        <v>762</v>
      </c>
      <c r="K22" s="142" t="s">
        <v>767</v>
      </c>
      <c r="L22" s="142"/>
      <c r="M22" s="142"/>
      <c r="N22" s="142"/>
      <c r="O22" s="142"/>
      <c r="P22" s="142" t="s">
        <v>768</v>
      </c>
      <c r="Q22" s="142" t="s">
        <v>744</v>
      </c>
      <c r="R22" s="142"/>
      <c r="S22" s="144" t="s">
        <v>766</v>
      </c>
      <c r="T22" s="143" t="s">
        <v>769</v>
      </c>
    </row>
    <row r="23" spans="1:20" s="141" customFormat="1" x14ac:dyDescent="0.4">
      <c r="A23" s="142" t="s">
        <v>740</v>
      </c>
      <c r="B23" s="142" t="s">
        <v>49</v>
      </c>
      <c r="C23" s="142" t="s">
        <v>667</v>
      </c>
      <c r="D23" s="145">
        <v>1.24</v>
      </c>
      <c r="E23" s="143" t="s">
        <v>35</v>
      </c>
      <c r="F23" s="142" t="s">
        <v>35</v>
      </c>
      <c r="G23" s="143" t="s">
        <v>741</v>
      </c>
      <c r="H23" s="142" t="s">
        <v>667</v>
      </c>
      <c r="I23" s="142">
        <f t="shared" si="0"/>
        <v>1.24</v>
      </c>
      <c r="J23" s="142" t="s">
        <v>762</v>
      </c>
      <c r="K23" s="142" t="s">
        <v>770</v>
      </c>
      <c r="L23" s="142"/>
      <c r="M23" s="142"/>
      <c r="N23" s="142"/>
      <c r="O23" s="142"/>
      <c r="P23" s="142" t="s">
        <v>771</v>
      </c>
      <c r="Q23" s="142" t="s">
        <v>744</v>
      </c>
      <c r="R23" s="142"/>
      <c r="S23" s="144" t="s">
        <v>872</v>
      </c>
      <c r="T23" s="143" t="s">
        <v>873</v>
      </c>
    </row>
    <row r="24" spans="1:20" s="141" customFormat="1" x14ac:dyDescent="0.4">
      <c r="A24" s="142" t="s">
        <v>740</v>
      </c>
      <c r="B24" s="142" t="s">
        <v>49</v>
      </c>
      <c r="C24" s="142" t="s">
        <v>674</v>
      </c>
      <c r="D24" s="145">
        <v>0.1</v>
      </c>
      <c r="E24" s="143" t="s">
        <v>35</v>
      </c>
      <c r="F24" s="142" t="s">
        <v>35</v>
      </c>
      <c r="G24" s="143" t="s">
        <v>741</v>
      </c>
      <c r="H24" s="142" t="s">
        <v>674</v>
      </c>
      <c r="I24" s="142">
        <f t="shared" si="0"/>
        <v>0.1</v>
      </c>
      <c r="J24" s="142" t="s">
        <v>110</v>
      </c>
      <c r="K24" s="142" t="s">
        <v>773</v>
      </c>
      <c r="L24" s="142"/>
      <c r="M24" s="142"/>
      <c r="N24" s="142"/>
      <c r="O24" s="142"/>
      <c r="P24" s="142" t="s">
        <v>774</v>
      </c>
      <c r="Q24" s="142" t="s">
        <v>744</v>
      </c>
      <c r="R24" s="142"/>
      <c r="S24" s="144" t="s">
        <v>772</v>
      </c>
      <c r="T24" s="143" t="s">
        <v>775</v>
      </c>
    </row>
    <row r="25" spans="1:20" s="141" customFormat="1" x14ac:dyDescent="0.4">
      <c r="A25" s="142" t="s">
        <v>740</v>
      </c>
      <c r="B25" s="142" t="s">
        <v>49</v>
      </c>
      <c r="C25" s="142" t="s">
        <v>675</v>
      </c>
      <c r="D25" s="145">
        <v>0.2</v>
      </c>
      <c r="E25" s="143" t="s">
        <v>35</v>
      </c>
      <c r="F25" s="142" t="s">
        <v>35</v>
      </c>
      <c r="G25" s="143" t="s">
        <v>741</v>
      </c>
      <c r="H25" s="142" t="s">
        <v>675</v>
      </c>
      <c r="I25" s="142">
        <f t="shared" si="0"/>
        <v>0.2</v>
      </c>
      <c r="J25" s="142" t="s">
        <v>110</v>
      </c>
      <c r="K25" s="142" t="s">
        <v>776</v>
      </c>
      <c r="L25" s="142"/>
      <c r="M25" s="142"/>
      <c r="N25" s="142"/>
      <c r="O25" s="142"/>
      <c r="P25" s="142" t="s">
        <v>777</v>
      </c>
      <c r="Q25" s="142" t="s">
        <v>744</v>
      </c>
      <c r="R25" s="142"/>
      <c r="S25" s="144" t="s">
        <v>766</v>
      </c>
      <c r="T25" s="143" t="s">
        <v>778</v>
      </c>
    </row>
    <row r="26" spans="1:20" s="141" customFormat="1" x14ac:dyDescent="0.4">
      <c r="A26" s="142" t="s">
        <v>740</v>
      </c>
      <c r="B26" s="142" t="s">
        <v>49</v>
      </c>
      <c r="C26" s="142" t="s">
        <v>676</v>
      </c>
      <c r="D26" s="145">
        <v>0.3</v>
      </c>
      <c r="E26" s="143" t="s">
        <v>35</v>
      </c>
      <c r="F26" s="142" t="s">
        <v>35</v>
      </c>
      <c r="G26" s="143" t="s">
        <v>741</v>
      </c>
      <c r="H26" s="142" t="s">
        <v>676</v>
      </c>
      <c r="I26" s="142">
        <f t="shared" si="0"/>
        <v>0.3</v>
      </c>
      <c r="J26" s="142" t="s">
        <v>110</v>
      </c>
      <c r="K26" s="142" t="s">
        <v>780</v>
      </c>
      <c r="L26" s="142"/>
      <c r="M26" s="142"/>
      <c r="N26" s="142"/>
      <c r="O26" s="142"/>
      <c r="P26" s="142" t="s">
        <v>781</v>
      </c>
      <c r="Q26" s="142" t="s">
        <v>744</v>
      </c>
      <c r="R26" s="142"/>
      <c r="S26" s="144" t="s">
        <v>779</v>
      </c>
      <c r="T26" s="143" t="s">
        <v>782</v>
      </c>
    </row>
    <row r="27" spans="1:20" s="141" customFormat="1" x14ac:dyDescent="0.4">
      <c r="A27" s="142" t="s">
        <v>740</v>
      </c>
      <c r="B27" s="142" t="s">
        <v>49</v>
      </c>
      <c r="C27" s="142" t="s">
        <v>671</v>
      </c>
      <c r="D27" s="145">
        <v>0.04</v>
      </c>
      <c r="E27" s="143" t="s">
        <v>35</v>
      </c>
      <c r="F27" s="142" t="s">
        <v>35</v>
      </c>
      <c r="G27" s="143" t="s">
        <v>741</v>
      </c>
      <c r="H27" s="142" t="s">
        <v>671</v>
      </c>
      <c r="I27" s="142">
        <f t="shared" si="0"/>
        <v>0.04</v>
      </c>
      <c r="J27" s="142" t="s">
        <v>784</v>
      </c>
      <c r="K27" s="142" t="s">
        <v>785</v>
      </c>
      <c r="L27" s="142"/>
      <c r="M27" s="142"/>
      <c r="N27" s="142"/>
      <c r="O27" s="142"/>
      <c r="P27" s="142" t="s">
        <v>786</v>
      </c>
      <c r="Q27" s="142" t="s">
        <v>744</v>
      </c>
      <c r="R27" s="142"/>
      <c r="S27" s="144" t="s">
        <v>783</v>
      </c>
      <c r="T27" s="143" t="s">
        <v>787</v>
      </c>
    </row>
    <row r="28" spans="1:20" s="141" customFormat="1" x14ac:dyDescent="0.4">
      <c r="A28" s="142" t="s">
        <v>740</v>
      </c>
      <c r="B28" s="142" t="s">
        <v>51</v>
      </c>
      <c r="C28" s="142" t="s">
        <v>672</v>
      </c>
      <c r="D28" s="145">
        <v>0.05</v>
      </c>
      <c r="E28" s="143" t="s">
        <v>35</v>
      </c>
      <c r="F28" s="142" t="s">
        <v>35</v>
      </c>
      <c r="G28" s="143" t="s">
        <v>741</v>
      </c>
      <c r="H28" s="142" t="s">
        <v>672</v>
      </c>
      <c r="I28" s="142">
        <f t="shared" si="0"/>
        <v>0.05</v>
      </c>
      <c r="J28" s="142" t="s">
        <v>789</v>
      </c>
      <c r="K28" s="142" t="s">
        <v>790</v>
      </c>
      <c r="L28" s="142"/>
      <c r="M28" s="142"/>
      <c r="N28" s="142"/>
      <c r="O28" s="142"/>
      <c r="P28" s="142" t="s">
        <v>791</v>
      </c>
      <c r="Q28" s="142" t="s">
        <v>744</v>
      </c>
      <c r="R28" s="142"/>
      <c r="S28" s="144" t="s">
        <v>788</v>
      </c>
      <c r="T28" s="143" t="s">
        <v>792</v>
      </c>
    </row>
  </sheetData>
  <sheetProtection sheet="1" objects="1" scenarios="1" formatColumns="0" autoFilter="0" pivotTables="0"/>
  <autoFilter ref="A1:T28" xr:uid="{00000000-0009-0000-0000-000003000000}"/>
  <dataValidations count="1">
    <dataValidation type="list" allowBlank="1" showInputMessage="1" showErrorMessage="1" errorTitle="ConCORDE" error="This cell may only contain the following values: COMPUTED,MANUAL,REFERENCE" promptTitle="Please select a Parameter Switch" sqref="G2:G28" xr:uid="{00000000-0002-0000-0300-000000000000}">
      <formula1>"COMPUTED,MANUAL,REFERENCE"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/>
  </sheetPr>
  <dimension ref="A1:H1"/>
  <sheetViews>
    <sheetView workbookViewId="0">
      <pane ySplit="1" topLeftCell="A2" activePane="bottomLeft" state="frozenSplit"/>
      <selection pane="bottomLeft"/>
    </sheetView>
  </sheetViews>
  <sheetFormatPr defaultRowHeight="16.8" outlineLevelCol="1" x14ac:dyDescent="0.4"/>
  <cols>
    <col min="1" max="1" width="4.59765625" bestFit="1" customWidth="1"/>
    <col min="2" max="2" width="5.8984375" bestFit="1" customWidth="1"/>
    <col min="3" max="3" width="10.69921875" bestFit="1" customWidth="1"/>
    <col min="4" max="4" width="9.3984375" bestFit="1" customWidth="1"/>
    <col min="5" max="5" width="8.8984375" hidden="1" customWidth="1" outlineLevel="1"/>
    <col min="6" max="6" width="12" hidden="1" customWidth="1" outlineLevel="1"/>
    <col min="7" max="7" width="8.5" hidden="1" customWidth="1" outlineLevel="1"/>
    <col min="8" max="8" width="9" collapsed="1"/>
  </cols>
  <sheetData>
    <row r="1" spans="1:7" x14ac:dyDescent="0.4">
      <c r="A1" t="s">
        <v>694</v>
      </c>
      <c r="B1" t="s">
        <v>202</v>
      </c>
      <c r="C1" t="s">
        <v>793</v>
      </c>
      <c r="D1" t="s">
        <v>794</v>
      </c>
      <c r="E1" t="s">
        <v>707</v>
      </c>
      <c r="F1" t="s">
        <v>795</v>
      </c>
      <c r="G1" t="s">
        <v>711</v>
      </c>
    </row>
  </sheetData>
  <sheetProtection sheet="1" objects="1" scenarios="1" sort="0" autoFilter="0" pivotTable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17"/>
  <sheetViews>
    <sheetView workbookViewId="0">
      <pane ySplit="1" topLeftCell="A2" activePane="bottomLeft" state="frozenSplit"/>
      <selection pane="bottomLeft"/>
    </sheetView>
  </sheetViews>
  <sheetFormatPr defaultRowHeight="16.8" x14ac:dyDescent="0.4"/>
  <cols>
    <col min="1" max="1" width="14.09765625" bestFit="1" customWidth="1"/>
    <col min="2" max="2" width="15.09765625" bestFit="1" customWidth="1"/>
    <col min="3" max="3" width="21" bestFit="1" customWidth="1"/>
    <col min="4" max="4" width="5.09765625" bestFit="1" customWidth="1"/>
    <col min="5" max="5" width="33.19921875" bestFit="1" customWidth="1"/>
    <col min="6" max="6" width="17.3984375" bestFit="1" customWidth="1"/>
    <col min="7" max="7" width="10" bestFit="1" customWidth="1"/>
    <col min="8" max="8" width="6.69921875" bestFit="1" customWidth="1"/>
    <col min="9" max="9" width="5.19921875" bestFit="1" customWidth="1"/>
    <col min="10" max="10" width="15.3984375" bestFit="1" customWidth="1"/>
    <col min="11" max="11" width="9.5" bestFit="1" customWidth="1"/>
    <col min="12" max="12" width="13.59765625" bestFit="1" customWidth="1"/>
    <col min="13" max="13" width="15.09765625" bestFit="1" customWidth="1"/>
    <col min="14" max="14" width="18.59765625" bestFit="1" customWidth="1"/>
    <col min="15" max="15" width="22.19921875" bestFit="1" customWidth="1"/>
  </cols>
  <sheetData>
    <row r="1" spans="1:15" x14ac:dyDescent="0.4">
      <c r="A1" t="s">
        <v>796</v>
      </c>
      <c r="B1" t="s">
        <v>797</v>
      </c>
      <c r="C1" t="s">
        <v>14</v>
      </c>
      <c r="D1" t="s">
        <v>703</v>
      </c>
      <c r="E1" t="s">
        <v>798</v>
      </c>
      <c r="F1" t="s">
        <v>36</v>
      </c>
      <c r="G1" t="s">
        <v>799</v>
      </c>
      <c r="H1" t="s">
        <v>800</v>
      </c>
      <c r="I1" t="s">
        <v>701</v>
      </c>
      <c r="J1" t="s">
        <v>801</v>
      </c>
      <c r="K1" t="s">
        <v>802</v>
      </c>
      <c r="L1" t="s">
        <v>803</v>
      </c>
      <c r="M1" t="s">
        <v>804</v>
      </c>
      <c r="N1" t="s">
        <v>805</v>
      </c>
      <c r="O1" t="s">
        <v>806</v>
      </c>
    </row>
    <row r="2" spans="1:15" x14ac:dyDescent="0.4">
      <c r="A2" t="s">
        <v>51</v>
      </c>
      <c r="C2" t="s">
        <v>807</v>
      </c>
      <c r="E2" t="s">
        <v>808</v>
      </c>
      <c r="F2" t="s">
        <v>809</v>
      </c>
      <c r="J2" t="s">
        <v>51</v>
      </c>
      <c r="L2" t="s">
        <v>51</v>
      </c>
      <c r="N2">
        <v>1</v>
      </c>
      <c r="O2" t="s">
        <v>810</v>
      </c>
    </row>
    <row r="3" spans="1:15" x14ac:dyDescent="0.4">
      <c r="A3" t="s">
        <v>51</v>
      </c>
      <c r="C3" t="s">
        <v>811</v>
      </c>
      <c r="E3" t="s">
        <v>812</v>
      </c>
      <c r="F3">
        <v>6</v>
      </c>
      <c r="I3" t="s">
        <v>813</v>
      </c>
      <c r="J3" t="s">
        <v>51</v>
      </c>
      <c r="M3" t="s">
        <v>814</v>
      </c>
      <c r="N3">
        <v>1</v>
      </c>
      <c r="O3" t="s">
        <v>810</v>
      </c>
    </row>
    <row r="4" spans="1:15" x14ac:dyDescent="0.4">
      <c r="A4" t="s">
        <v>51</v>
      </c>
      <c r="C4" t="s">
        <v>815</v>
      </c>
      <c r="E4" t="s">
        <v>816</v>
      </c>
      <c r="F4">
        <v>2</v>
      </c>
      <c r="I4" t="s">
        <v>813</v>
      </c>
      <c r="J4" t="s">
        <v>51</v>
      </c>
      <c r="M4" t="s">
        <v>814</v>
      </c>
      <c r="N4">
        <v>1</v>
      </c>
      <c r="O4" t="s">
        <v>810</v>
      </c>
    </row>
    <row r="5" spans="1:15" x14ac:dyDescent="0.4">
      <c r="A5" t="s">
        <v>51</v>
      </c>
      <c r="C5" t="s">
        <v>817</v>
      </c>
      <c r="E5" t="s">
        <v>818</v>
      </c>
      <c r="F5">
        <v>3</v>
      </c>
      <c r="I5" t="s">
        <v>819</v>
      </c>
      <c r="J5" t="s">
        <v>51</v>
      </c>
      <c r="M5" t="s">
        <v>814</v>
      </c>
      <c r="N5">
        <v>1</v>
      </c>
      <c r="O5" t="s">
        <v>810</v>
      </c>
    </row>
    <row r="6" spans="1:15" x14ac:dyDescent="0.4">
      <c r="A6" t="s">
        <v>51</v>
      </c>
      <c r="C6" t="s">
        <v>820</v>
      </c>
      <c r="E6" t="s">
        <v>821</v>
      </c>
      <c r="F6">
        <v>25</v>
      </c>
      <c r="I6" t="s">
        <v>40</v>
      </c>
      <c r="J6" t="s">
        <v>51</v>
      </c>
      <c r="M6" t="s">
        <v>814</v>
      </c>
      <c r="N6">
        <v>1</v>
      </c>
      <c r="O6" t="s">
        <v>810</v>
      </c>
    </row>
    <row r="7" spans="1:15" x14ac:dyDescent="0.4">
      <c r="A7" t="s">
        <v>51</v>
      </c>
      <c r="C7" t="s">
        <v>822</v>
      </c>
      <c r="E7" t="s">
        <v>823</v>
      </c>
      <c r="F7">
        <v>10</v>
      </c>
      <c r="I7" t="s">
        <v>40</v>
      </c>
      <c r="J7" t="s">
        <v>51</v>
      </c>
      <c r="M7" t="s">
        <v>814</v>
      </c>
      <c r="N7">
        <v>1</v>
      </c>
      <c r="O7" t="s">
        <v>810</v>
      </c>
    </row>
    <row r="8" spans="1:15" x14ac:dyDescent="0.4">
      <c r="A8" t="s">
        <v>51</v>
      </c>
      <c r="C8" t="s">
        <v>824</v>
      </c>
      <c r="E8" t="s">
        <v>825</v>
      </c>
      <c r="F8">
        <v>0</v>
      </c>
      <c r="I8" t="s">
        <v>719</v>
      </c>
      <c r="J8" t="s">
        <v>51</v>
      </c>
      <c r="M8" t="s">
        <v>814</v>
      </c>
      <c r="N8">
        <v>1</v>
      </c>
      <c r="O8" t="s">
        <v>810</v>
      </c>
    </row>
    <row r="9" spans="1:15" x14ac:dyDescent="0.4">
      <c r="A9" t="s">
        <v>51</v>
      </c>
      <c r="C9" t="s">
        <v>826</v>
      </c>
      <c r="E9" t="s">
        <v>827</v>
      </c>
      <c r="F9" t="s">
        <v>35</v>
      </c>
      <c r="I9" t="s">
        <v>172</v>
      </c>
      <c r="J9" t="s">
        <v>51</v>
      </c>
      <c r="M9" t="s">
        <v>814</v>
      </c>
      <c r="N9">
        <v>1</v>
      </c>
      <c r="O9" t="s">
        <v>810</v>
      </c>
    </row>
    <row r="10" spans="1:15" x14ac:dyDescent="0.4">
      <c r="A10" t="s">
        <v>51</v>
      </c>
      <c r="C10" t="s">
        <v>828</v>
      </c>
      <c r="E10" t="s">
        <v>829</v>
      </c>
      <c r="F10" t="s">
        <v>35</v>
      </c>
      <c r="I10" t="s">
        <v>110</v>
      </c>
      <c r="J10" t="s">
        <v>51</v>
      </c>
      <c r="M10" t="s">
        <v>814</v>
      </c>
      <c r="N10">
        <v>1</v>
      </c>
      <c r="O10" t="s">
        <v>810</v>
      </c>
    </row>
    <row r="11" spans="1:15" x14ac:dyDescent="0.4">
      <c r="A11" t="s">
        <v>51</v>
      </c>
      <c r="C11" t="s">
        <v>790</v>
      </c>
      <c r="E11" t="s">
        <v>830</v>
      </c>
      <c r="F11">
        <f>SYS\point_acc\\</f>
        <v>0.05</v>
      </c>
      <c r="I11" t="s">
        <v>789</v>
      </c>
      <c r="J11" t="s">
        <v>51</v>
      </c>
      <c r="K11" t="s">
        <v>42</v>
      </c>
      <c r="M11" t="s">
        <v>814</v>
      </c>
      <c r="N11">
        <v>1</v>
      </c>
      <c r="O11" t="s">
        <v>810</v>
      </c>
    </row>
    <row r="12" spans="1:15" x14ac:dyDescent="0.4">
      <c r="A12" t="s">
        <v>51</v>
      </c>
      <c r="C12" t="s">
        <v>831</v>
      </c>
      <c r="E12" t="s">
        <v>832</v>
      </c>
      <c r="F12" t="s">
        <v>35</v>
      </c>
      <c r="I12" t="s">
        <v>172</v>
      </c>
      <c r="J12" t="s">
        <v>51</v>
      </c>
      <c r="M12" t="s">
        <v>814</v>
      </c>
      <c r="N12">
        <v>1</v>
      </c>
      <c r="O12" t="s">
        <v>810</v>
      </c>
    </row>
    <row r="13" spans="1:15" x14ac:dyDescent="0.4">
      <c r="A13" t="s">
        <v>51</v>
      </c>
      <c r="C13" t="s">
        <v>833</v>
      </c>
      <c r="E13" t="s">
        <v>834</v>
      </c>
      <c r="F13">
        <v>30</v>
      </c>
      <c r="I13" t="s">
        <v>41</v>
      </c>
      <c r="J13" t="s">
        <v>51</v>
      </c>
      <c r="M13" t="s">
        <v>814</v>
      </c>
      <c r="N13">
        <v>1</v>
      </c>
      <c r="O13" t="s">
        <v>810</v>
      </c>
    </row>
    <row r="14" spans="1:15" x14ac:dyDescent="0.4">
      <c r="A14" t="s">
        <v>51</v>
      </c>
      <c r="C14" t="s">
        <v>835</v>
      </c>
      <c r="E14" t="s">
        <v>836</v>
      </c>
      <c r="F14" t="s">
        <v>35</v>
      </c>
      <c r="I14" t="s">
        <v>172</v>
      </c>
      <c r="J14" t="s">
        <v>51</v>
      </c>
      <c r="M14" t="s">
        <v>814</v>
      </c>
      <c r="N14">
        <v>1</v>
      </c>
      <c r="O14" t="s">
        <v>810</v>
      </c>
    </row>
    <row r="15" spans="1:15" x14ac:dyDescent="0.4">
      <c r="A15" t="s">
        <v>51</v>
      </c>
      <c r="C15" t="s">
        <v>837</v>
      </c>
      <c r="E15" t="s">
        <v>838</v>
      </c>
      <c r="F15" t="s">
        <v>839</v>
      </c>
      <c r="J15" t="s">
        <v>51</v>
      </c>
      <c r="M15" t="s">
        <v>814</v>
      </c>
      <c r="N15">
        <v>1</v>
      </c>
      <c r="O15" t="s">
        <v>810</v>
      </c>
    </row>
    <row r="16" spans="1:15" x14ac:dyDescent="0.4">
      <c r="A16" t="s">
        <v>51</v>
      </c>
      <c r="C16" t="s">
        <v>840</v>
      </c>
      <c r="E16" t="s">
        <v>841</v>
      </c>
      <c r="F16" t="s">
        <v>35</v>
      </c>
      <c r="I16" t="s">
        <v>172</v>
      </c>
      <c r="J16" t="s">
        <v>51</v>
      </c>
      <c r="M16" t="s">
        <v>814</v>
      </c>
      <c r="N16">
        <v>1</v>
      </c>
      <c r="O16" t="s">
        <v>810</v>
      </c>
    </row>
    <row r="17" spans="1:15" x14ac:dyDescent="0.4">
      <c r="A17" t="s">
        <v>51</v>
      </c>
      <c r="C17" t="s">
        <v>842</v>
      </c>
      <c r="E17" t="s">
        <v>843</v>
      </c>
      <c r="F17">
        <v>50</v>
      </c>
      <c r="I17" t="s">
        <v>719</v>
      </c>
      <c r="J17" t="s">
        <v>51</v>
      </c>
      <c r="M17" t="s">
        <v>814</v>
      </c>
      <c r="N17">
        <v>1</v>
      </c>
      <c r="O17" t="s">
        <v>810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H2"/>
  <sheetViews>
    <sheetView workbookViewId="0">
      <selection activeCell="G3" sqref="G3"/>
    </sheetView>
  </sheetViews>
  <sheetFormatPr defaultColWidth="9" defaultRowHeight="16.8" x14ac:dyDescent="0.4"/>
  <cols>
    <col min="1" max="1" width="9" style="137"/>
    <col min="2" max="2" width="13.59765625" style="137" bestFit="1" customWidth="1"/>
    <col min="3" max="3" width="6.3984375" style="137" customWidth="1"/>
    <col min="4" max="6" width="9" style="137"/>
    <col min="7" max="7" width="13.59765625" style="137" bestFit="1" customWidth="1"/>
    <col min="8" max="8" width="6.3984375" style="137" customWidth="1"/>
    <col min="9" max="16384" width="9" style="137"/>
  </cols>
  <sheetData>
    <row r="1" spans="2:8" x14ac:dyDescent="0.4">
      <c r="B1" s="139" t="s">
        <v>803</v>
      </c>
      <c r="C1" t="s">
        <v>844</v>
      </c>
      <c r="G1" s="136" t="s">
        <v>803</v>
      </c>
      <c r="H1" s="137" t="s">
        <v>844</v>
      </c>
    </row>
    <row r="2" spans="2:8" x14ac:dyDescent="0.4">
      <c r="B2" s="136" t="s">
        <v>14</v>
      </c>
      <c r="C2" s="137" t="s">
        <v>844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"/>
  <dimension ref="B1:AA37"/>
  <sheetViews>
    <sheetView topLeftCell="C1" zoomScale="90" zoomScaleNormal="90" workbookViewId="0">
      <pane ySplit="15" topLeftCell="A16" activePane="bottomLeft" state="frozen"/>
      <selection pane="bottomLeft" activeCell="H33" sqref="H33:I33"/>
    </sheetView>
  </sheetViews>
  <sheetFormatPr defaultColWidth="8" defaultRowHeight="18" customHeight="1" x14ac:dyDescent="0.4"/>
  <cols>
    <col min="1" max="11" width="8" style="20"/>
    <col min="12" max="12" width="8" style="20" customWidth="1"/>
    <col min="13" max="16384" width="8" style="20"/>
  </cols>
  <sheetData>
    <row r="1" spans="2:27" ht="15" customHeight="1" x14ac:dyDescent="0.4"/>
    <row r="2" spans="2:27" ht="15" customHeight="1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</row>
    <row r="3" spans="2:27" ht="15" customHeight="1" x14ac:dyDescent="0.4">
      <c r="B3" s="21"/>
      <c r="AA3" s="21"/>
    </row>
    <row r="4" spans="2:27" ht="15" customHeight="1" x14ac:dyDescent="0.4">
      <c r="B4" s="21"/>
      <c r="G4" s="211" t="s">
        <v>679</v>
      </c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AA4" s="21"/>
    </row>
    <row r="5" spans="2:27" ht="15" customHeight="1" x14ac:dyDescent="0.4">
      <c r="B5" s="21"/>
      <c r="G5" s="211"/>
      <c r="H5" s="211"/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11"/>
      <c r="T5" s="211"/>
      <c r="U5" s="211"/>
      <c r="AA5" s="21"/>
    </row>
    <row r="6" spans="2:27" ht="15" customHeight="1" x14ac:dyDescent="0.4">
      <c r="B6" s="21"/>
      <c r="G6" s="200" t="s">
        <v>13</v>
      </c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AA6" s="21"/>
    </row>
    <row r="7" spans="2:27" ht="15" customHeight="1" x14ac:dyDescent="0.4">
      <c r="B7" s="21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AA7" s="21"/>
    </row>
    <row r="8" spans="2:27" ht="15" customHeight="1" x14ac:dyDescent="0.4">
      <c r="B8" s="21"/>
      <c r="AA8" s="21"/>
    </row>
    <row r="9" spans="2:27" ht="18" customHeight="1" x14ac:dyDescent="0.4"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7" ht="18" customHeight="1" x14ac:dyDescent="0.4">
      <c r="B10" s="21"/>
      <c r="C10" s="186" t="s">
        <v>42</v>
      </c>
      <c r="D10" s="186"/>
      <c r="E10" s="7"/>
      <c r="F10" s="21"/>
      <c r="G10" s="184" t="s">
        <v>44</v>
      </c>
      <c r="H10" s="185"/>
      <c r="I10" s="9"/>
      <c r="J10" s="21"/>
      <c r="K10" s="186" t="s">
        <v>51</v>
      </c>
      <c r="L10" s="186"/>
      <c r="M10" s="11"/>
      <c r="N10" s="6"/>
      <c r="O10" s="184" t="s">
        <v>50</v>
      </c>
      <c r="P10" s="185"/>
      <c r="Q10" s="13"/>
      <c r="R10" s="21"/>
      <c r="S10" s="184" t="s">
        <v>663</v>
      </c>
      <c r="T10" s="185"/>
      <c r="U10" s="2"/>
      <c r="V10" s="21"/>
      <c r="W10" s="21"/>
      <c r="X10" s="21"/>
      <c r="Y10" s="21"/>
      <c r="Z10" s="21"/>
      <c r="AA10" s="21"/>
    </row>
    <row r="11" spans="2:27" ht="18" customHeight="1" x14ac:dyDescent="0.4">
      <c r="B11" s="21"/>
      <c r="C11" s="6"/>
      <c r="D11" s="6"/>
      <c r="E11" s="6"/>
      <c r="F11" s="21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21"/>
      <c r="W11" s="21"/>
      <c r="X11" s="21"/>
      <c r="Y11" s="21"/>
      <c r="Z11" s="21"/>
      <c r="AA11" s="21"/>
    </row>
    <row r="12" spans="2:27" ht="18" customHeight="1" x14ac:dyDescent="0.4">
      <c r="B12" s="21"/>
      <c r="C12" s="186" t="s">
        <v>43</v>
      </c>
      <c r="D12" s="186"/>
      <c r="E12" s="8"/>
      <c r="F12" s="21"/>
      <c r="G12" s="184" t="s">
        <v>45</v>
      </c>
      <c r="H12" s="185"/>
      <c r="I12" s="10"/>
      <c r="J12" s="6"/>
      <c r="K12" s="186" t="s">
        <v>46</v>
      </c>
      <c r="L12" s="186"/>
      <c r="M12" s="1"/>
      <c r="N12" s="6"/>
      <c r="O12" s="186" t="s">
        <v>49</v>
      </c>
      <c r="P12" s="186"/>
      <c r="Q12" s="3"/>
      <c r="R12" s="6"/>
      <c r="S12" s="184" t="s">
        <v>48</v>
      </c>
      <c r="T12" s="185"/>
      <c r="U12" s="12"/>
      <c r="V12" s="21"/>
      <c r="W12" s="21"/>
      <c r="X12" s="21"/>
      <c r="Y12" s="21"/>
      <c r="Z12" s="21"/>
      <c r="AA12" s="21"/>
    </row>
    <row r="13" spans="2:27" ht="18" customHeight="1" x14ac:dyDescent="0.4"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</row>
    <row r="14" spans="2:27" ht="18" customHeight="1" x14ac:dyDescent="0.4">
      <c r="B14" s="21"/>
      <c r="C14" s="183" t="s">
        <v>14</v>
      </c>
      <c r="D14" s="183"/>
      <c r="E14" s="183"/>
      <c r="F14" s="183" t="s">
        <v>15</v>
      </c>
      <c r="G14" s="183"/>
      <c r="H14" s="183" t="s">
        <v>16</v>
      </c>
      <c r="I14" s="183"/>
      <c r="J14" s="183" t="s">
        <v>17</v>
      </c>
      <c r="K14" s="183"/>
      <c r="L14" s="183" t="s">
        <v>18</v>
      </c>
      <c r="M14" s="183"/>
      <c r="N14" s="183"/>
      <c r="O14" s="183"/>
      <c r="P14" s="183" t="s">
        <v>19</v>
      </c>
      <c r="Q14" s="183"/>
      <c r="R14" s="183" t="s">
        <v>20</v>
      </c>
      <c r="S14" s="183"/>
      <c r="T14" s="183" t="s">
        <v>21</v>
      </c>
      <c r="U14" s="183"/>
      <c r="V14" s="188" t="s">
        <v>7</v>
      </c>
      <c r="W14" s="189"/>
      <c r="X14" s="189"/>
      <c r="Y14" s="189"/>
      <c r="Z14" s="190"/>
      <c r="AA14" s="21"/>
    </row>
    <row r="15" spans="2:27" ht="18" customHeight="1" x14ac:dyDescent="0.4">
      <c r="B15" s="21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91"/>
      <c r="W15" s="192"/>
      <c r="X15" s="192"/>
      <c r="Y15" s="192"/>
      <c r="Z15" s="193"/>
      <c r="AA15" s="21"/>
    </row>
    <row r="16" spans="2:27" ht="18" customHeight="1" x14ac:dyDescent="0.4">
      <c r="B16" s="21"/>
      <c r="C16" s="176" t="s">
        <v>118</v>
      </c>
      <c r="D16" s="177"/>
      <c r="E16" s="178"/>
      <c r="F16" s="176" t="s">
        <v>80</v>
      </c>
      <c r="G16" s="201"/>
      <c r="H16" s="147"/>
      <c r="I16" s="148"/>
      <c r="J16" s="180"/>
      <c r="K16" s="181"/>
      <c r="L16" s="176" t="s">
        <v>673</v>
      </c>
      <c r="M16" s="177"/>
      <c r="N16" s="177"/>
      <c r="O16" s="178"/>
      <c r="P16" s="176" t="s">
        <v>80</v>
      </c>
      <c r="Q16" s="202"/>
      <c r="R16" s="176"/>
      <c r="S16" s="202"/>
      <c r="T16" s="207" t="s">
        <v>663</v>
      </c>
      <c r="U16" s="202"/>
      <c r="V16" s="147"/>
      <c r="W16" s="148"/>
      <c r="X16" s="148"/>
      <c r="Y16" s="148"/>
      <c r="Z16" s="148"/>
      <c r="AA16" s="21"/>
    </row>
    <row r="17" spans="2:27" ht="18" customHeight="1" x14ac:dyDescent="0.4">
      <c r="B17" s="21"/>
      <c r="C17" s="176" t="s">
        <v>681</v>
      </c>
      <c r="D17" s="177"/>
      <c r="E17" s="178"/>
      <c r="F17" s="208">
        <v>14993629000</v>
      </c>
      <c r="G17" s="209"/>
      <c r="H17" s="147"/>
      <c r="I17" s="148"/>
      <c r="J17" s="180"/>
      <c r="K17" s="181"/>
      <c r="L17" s="176" t="s">
        <v>680</v>
      </c>
      <c r="M17" s="177"/>
      <c r="N17" s="177"/>
      <c r="O17" s="178"/>
      <c r="P17" s="208">
        <v>14993629000</v>
      </c>
      <c r="Q17" s="210"/>
      <c r="R17" s="176" t="s">
        <v>752</v>
      </c>
      <c r="S17" s="202"/>
      <c r="T17" s="207" t="s">
        <v>663</v>
      </c>
      <c r="U17" s="202"/>
      <c r="V17" s="147"/>
      <c r="W17" s="148"/>
      <c r="X17" s="148"/>
      <c r="Y17" s="148"/>
      <c r="Z17" s="148"/>
      <c r="AA17" s="21"/>
    </row>
    <row r="18" spans="2:27" ht="18" customHeight="1" x14ac:dyDescent="0.4">
      <c r="B18" s="21"/>
      <c r="C18" s="176" t="s">
        <v>121</v>
      </c>
      <c r="D18" s="177"/>
      <c r="E18" s="178"/>
      <c r="F18" s="203">
        <v>163.01</v>
      </c>
      <c r="G18" s="205"/>
      <c r="H18" s="147"/>
      <c r="I18" s="148"/>
      <c r="J18" s="180"/>
      <c r="K18" s="181"/>
      <c r="L18" s="176" t="s">
        <v>677</v>
      </c>
      <c r="M18" s="177"/>
      <c r="N18" s="177"/>
      <c r="O18" s="178"/>
      <c r="P18" s="203">
        <v>163.01</v>
      </c>
      <c r="Q18" s="204"/>
      <c r="R18" s="176" t="s">
        <v>59</v>
      </c>
      <c r="S18" s="202"/>
      <c r="T18" s="207" t="s">
        <v>663</v>
      </c>
      <c r="U18" s="202"/>
      <c r="V18" s="147"/>
      <c r="W18" s="148"/>
      <c r="X18" s="148"/>
      <c r="Y18" s="148"/>
      <c r="Z18" s="148"/>
      <c r="AA18" s="21"/>
    </row>
    <row r="19" spans="2:27" ht="18" customHeight="1" x14ac:dyDescent="0.4">
      <c r="B19" s="21"/>
      <c r="C19" s="176" t="s">
        <v>181</v>
      </c>
      <c r="D19" s="177"/>
      <c r="E19" s="178"/>
      <c r="F19" s="208">
        <v>578160090.29999995</v>
      </c>
      <c r="G19" s="209"/>
      <c r="H19" s="147"/>
      <c r="I19" s="148"/>
      <c r="J19" s="180"/>
      <c r="K19" s="181"/>
      <c r="L19" s="176" t="s">
        <v>670</v>
      </c>
      <c r="M19" s="177"/>
      <c r="N19" s="177"/>
      <c r="O19" s="178"/>
      <c r="P19" s="208">
        <v>578160090.29999995</v>
      </c>
      <c r="Q19" s="210"/>
      <c r="R19" s="176" t="s">
        <v>174</v>
      </c>
      <c r="S19" s="202"/>
      <c r="T19" s="207" t="s">
        <v>663</v>
      </c>
      <c r="U19" s="202"/>
      <c r="V19" s="147"/>
      <c r="W19" s="148"/>
      <c r="X19" s="148"/>
      <c r="Y19" s="148"/>
      <c r="Z19" s="148"/>
      <c r="AA19" s="21"/>
    </row>
    <row r="20" spans="2:27" ht="18" customHeight="1" x14ac:dyDescent="0.4">
      <c r="B20" s="21"/>
      <c r="C20" s="176" t="s">
        <v>746</v>
      </c>
      <c r="D20" s="177"/>
      <c r="E20" s="178"/>
      <c r="F20" s="203">
        <v>1322</v>
      </c>
      <c r="G20" s="205"/>
      <c r="H20" s="147"/>
      <c r="I20" s="148"/>
      <c r="J20" s="180"/>
      <c r="K20" s="181"/>
      <c r="L20" s="176" t="s">
        <v>669</v>
      </c>
      <c r="M20" s="177"/>
      <c r="N20" s="177"/>
      <c r="O20" s="178"/>
      <c r="P20" s="203">
        <v>1322</v>
      </c>
      <c r="Q20" s="204"/>
      <c r="R20" s="176" t="s">
        <v>745</v>
      </c>
      <c r="S20" s="202"/>
      <c r="T20" s="207" t="s">
        <v>663</v>
      </c>
      <c r="U20" s="202"/>
      <c r="V20" s="147"/>
      <c r="W20" s="148"/>
      <c r="X20" s="148"/>
      <c r="Y20" s="148"/>
      <c r="Z20" s="148"/>
      <c r="AA20" s="21"/>
    </row>
    <row r="21" spans="2:27" ht="18" customHeight="1" x14ac:dyDescent="0.4">
      <c r="B21" s="21"/>
      <c r="C21" s="176" t="s">
        <v>159</v>
      </c>
      <c r="D21" s="177"/>
      <c r="E21" s="178"/>
      <c r="F21" s="203">
        <v>1</v>
      </c>
      <c r="G21" s="205"/>
      <c r="H21" s="147"/>
      <c r="I21" s="148"/>
      <c r="J21" s="180"/>
      <c r="K21" s="181"/>
      <c r="L21" s="176" t="s">
        <v>664</v>
      </c>
      <c r="M21" s="177"/>
      <c r="N21" s="177"/>
      <c r="O21" s="178"/>
      <c r="P21" s="203">
        <v>1</v>
      </c>
      <c r="Q21" s="204"/>
      <c r="R21" s="176" t="s">
        <v>35</v>
      </c>
      <c r="S21" s="202"/>
      <c r="T21" s="194" t="s">
        <v>49</v>
      </c>
      <c r="U21" s="202"/>
      <c r="V21" s="147"/>
      <c r="W21" s="148"/>
      <c r="X21" s="148"/>
      <c r="Y21" s="148"/>
      <c r="Z21" s="148"/>
      <c r="AA21" s="21"/>
    </row>
    <row r="22" spans="2:27" ht="18" customHeight="1" x14ac:dyDescent="0.4">
      <c r="B22" s="21"/>
      <c r="C22" s="176" t="s">
        <v>160</v>
      </c>
      <c r="D22" s="177"/>
      <c r="E22" s="178"/>
      <c r="F22" s="203">
        <v>0.4</v>
      </c>
      <c r="G22" s="205"/>
      <c r="H22" s="147"/>
      <c r="I22" s="148"/>
      <c r="J22" s="180"/>
      <c r="K22" s="181"/>
      <c r="L22" s="176" t="s">
        <v>665</v>
      </c>
      <c r="M22" s="177"/>
      <c r="N22" s="177"/>
      <c r="O22" s="178"/>
      <c r="P22" s="203">
        <v>0.4</v>
      </c>
      <c r="Q22" s="204"/>
      <c r="R22" s="176" t="s">
        <v>762</v>
      </c>
      <c r="S22" s="202"/>
      <c r="T22" s="194" t="s">
        <v>49</v>
      </c>
      <c r="U22" s="202"/>
      <c r="V22" s="147"/>
      <c r="W22" s="148"/>
      <c r="X22" s="148"/>
      <c r="Y22" s="148"/>
      <c r="Z22" s="148"/>
      <c r="AA22" s="21"/>
    </row>
    <row r="23" spans="2:27" ht="18" customHeight="1" x14ac:dyDescent="0.4">
      <c r="B23" s="21"/>
      <c r="C23" s="176" t="s">
        <v>161</v>
      </c>
      <c r="D23" s="177"/>
      <c r="E23" s="178"/>
      <c r="F23" s="203">
        <v>0.2</v>
      </c>
      <c r="G23" s="205"/>
      <c r="H23" s="147"/>
      <c r="I23" s="148"/>
      <c r="J23" s="180"/>
      <c r="K23" s="181"/>
      <c r="L23" s="176" t="s">
        <v>666</v>
      </c>
      <c r="M23" s="177"/>
      <c r="N23" s="177"/>
      <c r="O23" s="178"/>
      <c r="P23" s="203">
        <v>0.2</v>
      </c>
      <c r="Q23" s="204"/>
      <c r="R23" s="176" t="s">
        <v>762</v>
      </c>
      <c r="S23" s="202"/>
      <c r="T23" s="194" t="s">
        <v>49</v>
      </c>
      <c r="U23" s="202"/>
      <c r="V23" s="147"/>
      <c r="W23" s="148"/>
      <c r="X23" s="148"/>
      <c r="Y23" s="148"/>
      <c r="Z23" s="148"/>
      <c r="AA23" s="21"/>
    </row>
    <row r="24" spans="2:27" ht="18" customHeight="1" x14ac:dyDescent="0.4">
      <c r="B24" s="21"/>
      <c r="C24" s="176" t="s">
        <v>162</v>
      </c>
      <c r="D24" s="177"/>
      <c r="E24" s="178"/>
      <c r="F24" s="203">
        <v>1.24</v>
      </c>
      <c r="G24" s="205"/>
      <c r="H24" s="147"/>
      <c r="I24" s="148"/>
      <c r="J24" s="180"/>
      <c r="K24" s="181"/>
      <c r="L24" s="176" t="s">
        <v>667</v>
      </c>
      <c r="M24" s="177"/>
      <c r="N24" s="177"/>
      <c r="O24" s="178"/>
      <c r="P24" s="203">
        <v>1.24</v>
      </c>
      <c r="Q24" s="204"/>
      <c r="R24" s="176" t="s">
        <v>762</v>
      </c>
      <c r="S24" s="202"/>
      <c r="T24" s="194" t="s">
        <v>49</v>
      </c>
      <c r="U24" s="202"/>
      <c r="V24" s="147"/>
      <c r="W24" s="148"/>
      <c r="X24" s="148"/>
      <c r="Y24" s="148"/>
      <c r="Z24" s="148"/>
      <c r="AA24" s="21"/>
    </row>
    <row r="25" spans="2:27" ht="18" customHeight="1" x14ac:dyDescent="0.4">
      <c r="B25" s="21"/>
      <c r="C25" s="176" t="s">
        <v>185</v>
      </c>
      <c r="D25" s="177"/>
      <c r="E25" s="178"/>
      <c r="F25" s="203">
        <v>0.05</v>
      </c>
      <c r="G25" s="205"/>
      <c r="H25" s="147"/>
      <c r="I25" s="148"/>
      <c r="J25" s="180"/>
      <c r="K25" s="181"/>
      <c r="L25" s="176" t="s">
        <v>672</v>
      </c>
      <c r="M25" s="177"/>
      <c r="N25" s="177"/>
      <c r="O25" s="178"/>
      <c r="P25" s="203">
        <v>0.05</v>
      </c>
      <c r="Q25" s="204"/>
      <c r="R25" s="176" t="s">
        <v>789</v>
      </c>
      <c r="S25" s="202"/>
      <c r="T25" s="196" t="s">
        <v>51</v>
      </c>
      <c r="U25" s="202"/>
      <c r="V25" s="147"/>
      <c r="W25" s="148"/>
      <c r="X25" s="148"/>
      <c r="Y25" s="148"/>
      <c r="Z25" s="148"/>
      <c r="AA25" s="21"/>
    </row>
    <row r="26" spans="2:27" ht="18" customHeight="1" x14ac:dyDescent="0.4">
      <c r="B26" s="21"/>
      <c r="C26" s="176" t="s">
        <v>188</v>
      </c>
      <c r="D26" s="177"/>
      <c r="E26" s="178"/>
      <c r="F26" s="203">
        <v>0.04</v>
      </c>
      <c r="G26" s="205"/>
      <c r="H26" s="147"/>
      <c r="I26" s="148"/>
      <c r="J26" s="180"/>
      <c r="K26" s="181"/>
      <c r="L26" s="176" t="s">
        <v>671</v>
      </c>
      <c r="M26" s="177"/>
      <c r="N26" s="177"/>
      <c r="O26" s="178"/>
      <c r="P26" s="203">
        <v>0.04</v>
      </c>
      <c r="Q26" s="204"/>
      <c r="R26" s="176" t="s">
        <v>784</v>
      </c>
      <c r="S26" s="202"/>
      <c r="T26" s="194" t="s">
        <v>49</v>
      </c>
      <c r="U26" s="202"/>
      <c r="V26" s="147"/>
      <c r="W26" s="148"/>
      <c r="X26" s="148"/>
      <c r="Y26" s="148"/>
      <c r="Z26" s="148"/>
      <c r="AA26" s="21"/>
    </row>
    <row r="27" spans="2:27" ht="18" customHeight="1" x14ac:dyDescent="0.4">
      <c r="B27" s="21"/>
      <c r="C27" s="176" t="s">
        <v>189</v>
      </c>
      <c r="D27" s="177"/>
      <c r="E27" s="178"/>
      <c r="F27" s="203">
        <v>0.04</v>
      </c>
      <c r="G27" s="205"/>
      <c r="H27" s="147"/>
      <c r="I27" s="148"/>
      <c r="J27" s="180"/>
      <c r="K27" s="181"/>
      <c r="L27" s="176" t="s">
        <v>671</v>
      </c>
      <c r="M27" s="177"/>
      <c r="N27" s="177"/>
      <c r="O27" s="178"/>
      <c r="P27" s="203">
        <v>0.04</v>
      </c>
      <c r="Q27" s="204"/>
      <c r="R27" s="176" t="s">
        <v>784</v>
      </c>
      <c r="S27" s="202"/>
      <c r="T27" s="194" t="s">
        <v>49</v>
      </c>
      <c r="U27" s="202"/>
      <c r="V27" s="147"/>
      <c r="W27" s="148"/>
      <c r="X27" s="148"/>
      <c r="Y27" s="148"/>
      <c r="Z27" s="148"/>
      <c r="AA27" s="21"/>
    </row>
    <row r="28" spans="2:27" ht="18" customHeight="1" x14ac:dyDescent="0.4">
      <c r="B28" s="21"/>
      <c r="C28" s="176" t="s">
        <v>349</v>
      </c>
      <c r="D28" s="177"/>
      <c r="E28" s="178"/>
      <c r="F28" s="203">
        <v>0.1</v>
      </c>
      <c r="G28" s="205"/>
      <c r="H28" s="147"/>
      <c r="I28" s="148"/>
      <c r="J28" s="180"/>
      <c r="K28" s="181"/>
      <c r="L28" s="176" t="s">
        <v>674</v>
      </c>
      <c r="M28" s="177"/>
      <c r="N28" s="177"/>
      <c r="O28" s="178"/>
      <c r="P28" s="206">
        <v>0.1</v>
      </c>
      <c r="Q28" s="204"/>
      <c r="R28" s="176" t="s">
        <v>110</v>
      </c>
      <c r="S28" s="202"/>
      <c r="T28" s="194" t="s">
        <v>49</v>
      </c>
      <c r="U28" s="202"/>
      <c r="V28" s="147"/>
      <c r="W28" s="148"/>
      <c r="X28" s="148"/>
      <c r="Y28" s="148"/>
      <c r="Z28" s="148"/>
      <c r="AA28" s="21"/>
    </row>
    <row r="29" spans="2:27" ht="18" customHeight="1" x14ac:dyDescent="0.4">
      <c r="B29" s="21"/>
      <c r="C29" s="176" t="s">
        <v>350</v>
      </c>
      <c r="D29" s="177"/>
      <c r="E29" s="178"/>
      <c r="F29" s="203">
        <v>0.2</v>
      </c>
      <c r="G29" s="205"/>
      <c r="H29" s="147"/>
      <c r="I29" s="148"/>
      <c r="J29" s="180"/>
      <c r="K29" s="181"/>
      <c r="L29" s="176" t="s">
        <v>675</v>
      </c>
      <c r="M29" s="177"/>
      <c r="N29" s="177"/>
      <c r="O29" s="178"/>
      <c r="P29" s="206">
        <v>0.2</v>
      </c>
      <c r="Q29" s="204"/>
      <c r="R29" s="176" t="s">
        <v>110</v>
      </c>
      <c r="S29" s="202"/>
      <c r="T29" s="194" t="s">
        <v>49</v>
      </c>
      <c r="U29" s="202"/>
      <c r="V29" s="147"/>
      <c r="W29" s="148"/>
      <c r="X29" s="148"/>
      <c r="Y29" s="148"/>
      <c r="Z29" s="148"/>
      <c r="AA29" s="21"/>
    </row>
    <row r="30" spans="2:27" ht="18" customHeight="1" x14ac:dyDescent="0.4">
      <c r="B30" s="21"/>
      <c r="C30" s="176" t="s">
        <v>351</v>
      </c>
      <c r="D30" s="177"/>
      <c r="E30" s="178"/>
      <c r="F30" s="203">
        <v>0.3</v>
      </c>
      <c r="G30" s="205"/>
      <c r="H30" s="147"/>
      <c r="I30" s="148"/>
      <c r="J30" s="180"/>
      <c r="K30" s="181"/>
      <c r="L30" s="176" t="s">
        <v>676</v>
      </c>
      <c r="M30" s="177"/>
      <c r="N30" s="177"/>
      <c r="O30" s="178"/>
      <c r="P30" s="206">
        <v>0.3</v>
      </c>
      <c r="Q30" s="204"/>
      <c r="R30" s="176" t="s">
        <v>110</v>
      </c>
      <c r="S30" s="202"/>
      <c r="T30" s="194" t="s">
        <v>49</v>
      </c>
      <c r="U30" s="202"/>
      <c r="V30" s="147"/>
      <c r="W30" s="148"/>
      <c r="X30" s="148"/>
      <c r="Y30" s="148"/>
      <c r="Z30" s="148"/>
      <c r="AA30" s="21"/>
    </row>
    <row r="31" spans="2:27" ht="18" customHeight="1" x14ac:dyDescent="0.4">
      <c r="B31" s="21"/>
      <c r="C31" s="176" t="s">
        <v>360</v>
      </c>
      <c r="D31" s="177"/>
      <c r="E31" s="178"/>
      <c r="F31" s="176" t="s">
        <v>35</v>
      </c>
      <c r="G31" s="201"/>
      <c r="H31" s="147">
        <v>0.12</v>
      </c>
      <c r="I31" s="148"/>
      <c r="J31" s="180"/>
      <c r="K31" s="181"/>
      <c r="L31" s="176" t="s">
        <v>668</v>
      </c>
      <c r="M31" s="177"/>
      <c r="N31" s="177"/>
      <c r="O31" s="178"/>
      <c r="P31" s="203">
        <v>0.12</v>
      </c>
      <c r="Q31" s="204"/>
      <c r="R31" s="176" t="s">
        <v>35</v>
      </c>
      <c r="S31" s="202"/>
      <c r="T31" s="197" t="s">
        <v>45</v>
      </c>
      <c r="U31" s="202"/>
      <c r="V31" s="147"/>
      <c r="W31" s="148"/>
      <c r="X31" s="148"/>
      <c r="Y31" s="148"/>
      <c r="Z31" s="148"/>
      <c r="AA31" s="21"/>
    </row>
    <row r="32" spans="2:27" ht="18" customHeight="1" x14ac:dyDescent="0.4">
      <c r="B32" s="21"/>
      <c r="C32" s="176" t="s">
        <v>122</v>
      </c>
      <c r="D32" s="177"/>
      <c r="E32" s="178"/>
      <c r="F32" s="176"/>
      <c r="G32" s="201"/>
      <c r="H32" s="147">
        <v>0</v>
      </c>
      <c r="I32" s="148"/>
      <c r="J32" s="180"/>
      <c r="K32" s="181"/>
      <c r="L32" s="176"/>
      <c r="M32" s="177"/>
      <c r="N32" s="177"/>
      <c r="O32" s="178"/>
      <c r="P32" s="176">
        <v>0</v>
      </c>
      <c r="Q32" s="202"/>
      <c r="R32" s="176"/>
      <c r="S32" s="202"/>
      <c r="T32" s="187"/>
      <c r="U32" s="202"/>
      <c r="V32" s="147"/>
      <c r="W32" s="148"/>
      <c r="X32" s="148"/>
      <c r="Y32" s="148"/>
      <c r="Z32" s="148"/>
      <c r="AA32" s="21"/>
    </row>
    <row r="33" spans="2:27" ht="18" customHeight="1" x14ac:dyDescent="0.4">
      <c r="B33" s="21"/>
      <c r="C33" s="176" t="s">
        <v>186</v>
      </c>
      <c r="D33" s="177"/>
      <c r="E33" s="178"/>
      <c r="F33" s="176"/>
      <c r="G33" s="201"/>
      <c r="H33" s="147"/>
      <c r="I33" s="148"/>
      <c r="J33" s="180"/>
      <c r="K33" s="181"/>
      <c r="L33" s="176"/>
      <c r="M33" s="177"/>
      <c r="N33" s="177"/>
      <c r="O33" s="178"/>
      <c r="P33" s="176"/>
      <c r="Q33" s="202"/>
      <c r="R33" s="176"/>
      <c r="S33" s="202"/>
      <c r="T33" s="187"/>
      <c r="U33" s="202"/>
      <c r="V33" s="147"/>
      <c r="W33" s="148"/>
      <c r="X33" s="148"/>
      <c r="Y33" s="148"/>
      <c r="Z33" s="148"/>
      <c r="AA33" s="21"/>
    </row>
    <row r="34" spans="2:27" ht="18" customHeight="1" x14ac:dyDescent="0.4">
      <c r="B34" s="21"/>
      <c r="C34" s="176"/>
      <c r="D34" s="177"/>
      <c r="E34" s="178"/>
      <c r="F34" s="176"/>
      <c r="G34" s="201"/>
      <c r="H34" s="147"/>
      <c r="I34" s="148"/>
      <c r="J34" s="180"/>
      <c r="K34" s="181"/>
      <c r="L34" s="176"/>
      <c r="M34" s="177"/>
      <c r="N34" s="177"/>
      <c r="O34" s="178"/>
      <c r="P34" s="176"/>
      <c r="Q34" s="202"/>
      <c r="R34" s="176"/>
      <c r="S34" s="202"/>
      <c r="T34" s="187"/>
      <c r="U34" s="202"/>
      <c r="V34" s="147"/>
      <c r="W34" s="148"/>
      <c r="X34" s="148"/>
      <c r="Y34" s="148"/>
      <c r="Z34" s="148"/>
      <c r="AA34" s="21"/>
    </row>
    <row r="35" spans="2:27" ht="18" customHeight="1" x14ac:dyDescent="0.4">
      <c r="B35" s="21"/>
      <c r="C35" s="176"/>
      <c r="D35" s="177"/>
      <c r="E35" s="178"/>
      <c r="F35" s="176"/>
      <c r="G35" s="201"/>
      <c r="H35" s="147"/>
      <c r="I35" s="148"/>
      <c r="J35" s="180"/>
      <c r="K35" s="181"/>
      <c r="L35" s="176"/>
      <c r="M35" s="177"/>
      <c r="N35" s="177"/>
      <c r="O35" s="178"/>
      <c r="P35" s="176"/>
      <c r="Q35" s="202"/>
      <c r="R35" s="176"/>
      <c r="S35" s="202"/>
      <c r="T35" s="187"/>
      <c r="U35" s="202"/>
      <c r="V35" s="147"/>
      <c r="W35" s="148"/>
      <c r="X35" s="148"/>
      <c r="Y35" s="148"/>
      <c r="Z35" s="148"/>
      <c r="AA35" s="21"/>
    </row>
    <row r="36" spans="2:27" ht="18" customHeight="1" x14ac:dyDescent="0.4">
      <c r="B36" s="21"/>
      <c r="C36" s="176"/>
      <c r="D36" s="177"/>
      <c r="E36" s="178"/>
      <c r="F36" s="176"/>
      <c r="G36" s="201"/>
      <c r="H36" s="147"/>
      <c r="I36" s="148"/>
      <c r="J36" s="180"/>
      <c r="K36" s="181"/>
      <c r="L36" s="176"/>
      <c r="M36" s="177"/>
      <c r="N36" s="177"/>
      <c r="O36" s="178"/>
      <c r="P36" s="176"/>
      <c r="Q36" s="202"/>
      <c r="R36" s="176"/>
      <c r="S36" s="202"/>
      <c r="T36" s="187"/>
      <c r="U36" s="202"/>
      <c r="V36" s="147"/>
      <c r="W36" s="148"/>
      <c r="X36" s="148"/>
      <c r="Y36" s="148"/>
      <c r="Z36" s="148"/>
      <c r="AA36" s="21"/>
    </row>
    <row r="37" spans="2:27" ht="18" customHeight="1" x14ac:dyDescent="0.4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</row>
  </sheetData>
  <sheetProtection password="F5DA" sheet="1" objects="1" scenarios="1" selectLockedCells="1"/>
  <mergeCells count="210">
    <mergeCell ref="G4:U5"/>
    <mergeCell ref="G6:U7"/>
    <mergeCell ref="C10:D10"/>
    <mergeCell ref="G10:H10"/>
    <mergeCell ref="K10:L10"/>
    <mergeCell ref="O10:P10"/>
    <mergeCell ref="S10:T10"/>
    <mergeCell ref="C12:D12"/>
    <mergeCell ref="G12:H12"/>
    <mergeCell ref="K12:L12"/>
    <mergeCell ref="O12:P12"/>
    <mergeCell ref="S12:T12"/>
    <mergeCell ref="C14:E15"/>
    <mergeCell ref="F14:G15"/>
    <mergeCell ref="H14:I15"/>
    <mergeCell ref="J14:K15"/>
    <mergeCell ref="L14:O15"/>
    <mergeCell ref="P14:Q15"/>
    <mergeCell ref="R14:S15"/>
    <mergeCell ref="T14:U15"/>
    <mergeCell ref="V14:Z15"/>
    <mergeCell ref="C16:E16"/>
    <mergeCell ref="F16:G16"/>
    <mergeCell ref="H16:I16"/>
    <mergeCell ref="J16:K16"/>
    <mergeCell ref="L16:O16"/>
    <mergeCell ref="P16:Q16"/>
    <mergeCell ref="R16:S16"/>
    <mergeCell ref="T16:U16"/>
    <mergeCell ref="V16:Z16"/>
    <mergeCell ref="C17:E17"/>
    <mergeCell ref="F17:G17"/>
    <mergeCell ref="H17:I17"/>
    <mergeCell ref="J17:K17"/>
    <mergeCell ref="L17:O17"/>
    <mergeCell ref="P17:Q17"/>
    <mergeCell ref="R17:S17"/>
    <mergeCell ref="T17:U17"/>
    <mergeCell ref="V17:Z17"/>
    <mergeCell ref="C18:E18"/>
    <mergeCell ref="F18:G18"/>
    <mergeCell ref="H18:I18"/>
    <mergeCell ref="J18:K18"/>
    <mergeCell ref="L18:O18"/>
    <mergeCell ref="P18:Q18"/>
    <mergeCell ref="R18:S18"/>
    <mergeCell ref="T18:U18"/>
    <mergeCell ref="V18:Z18"/>
    <mergeCell ref="C32:E32"/>
    <mergeCell ref="H32:I32"/>
    <mergeCell ref="L32:O32"/>
    <mergeCell ref="R19:S19"/>
    <mergeCell ref="T19:U19"/>
    <mergeCell ref="V19:Z19"/>
    <mergeCell ref="C20:E20"/>
    <mergeCell ref="F20:G20"/>
    <mergeCell ref="H20:I20"/>
    <mergeCell ref="J20:K20"/>
    <mergeCell ref="L20:O20"/>
    <mergeCell ref="P20:Q20"/>
    <mergeCell ref="R20:S20"/>
    <mergeCell ref="C19:E19"/>
    <mergeCell ref="F19:G19"/>
    <mergeCell ref="H19:I19"/>
    <mergeCell ref="J19:K19"/>
    <mergeCell ref="L19:O19"/>
    <mergeCell ref="P19:Q19"/>
    <mergeCell ref="T20:U20"/>
    <mergeCell ref="V20:Z20"/>
    <mergeCell ref="C21:E21"/>
    <mergeCell ref="F21:G21"/>
    <mergeCell ref="H21:I21"/>
    <mergeCell ref="J21:K21"/>
    <mergeCell ref="L21:O21"/>
    <mergeCell ref="P21:Q21"/>
    <mergeCell ref="R21:S21"/>
    <mergeCell ref="T21:U21"/>
    <mergeCell ref="V21:Z21"/>
    <mergeCell ref="C22:E22"/>
    <mergeCell ref="F22:G22"/>
    <mergeCell ref="H22:I22"/>
    <mergeCell ref="J22:K22"/>
    <mergeCell ref="L22:O22"/>
    <mergeCell ref="P22:Q22"/>
    <mergeCell ref="R22:S22"/>
    <mergeCell ref="T22:U22"/>
    <mergeCell ref="V22:Z22"/>
    <mergeCell ref="R23:S23"/>
    <mergeCell ref="T23:U23"/>
    <mergeCell ref="V23:Z23"/>
    <mergeCell ref="C24:E24"/>
    <mergeCell ref="F24:G24"/>
    <mergeCell ref="H24:I24"/>
    <mergeCell ref="J24:K24"/>
    <mergeCell ref="L24:O24"/>
    <mergeCell ref="P24:Q24"/>
    <mergeCell ref="R24:S24"/>
    <mergeCell ref="C23:E23"/>
    <mergeCell ref="F23:G23"/>
    <mergeCell ref="H23:I23"/>
    <mergeCell ref="J23:K23"/>
    <mergeCell ref="L23:O23"/>
    <mergeCell ref="P23:Q23"/>
    <mergeCell ref="T24:U24"/>
    <mergeCell ref="V24:Z24"/>
    <mergeCell ref="C25:E25"/>
    <mergeCell ref="F25:G25"/>
    <mergeCell ref="H25:I25"/>
    <mergeCell ref="J25:K25"/>
    <mergeCell ref="L25:O25"/>
    <mergeCell ref="P25:Q25"/>
    <mergeCell ref="R25:S25"/>
    <mergeCell ref="T25:U25"/>
    <mergeCell ref="V25:Z25"/>
    <mergeCell ref="C33:E33"/>
    <mergeCell ref="H33:I33"/>
    <mergeCell ref="L33:O33"/>
    <mergeCell ref="R26:S26"/>
    <mergeCell ref="T26:U26"/>
    <mergeCell ref="V26:Z26"/>
    <mergeCell ref="C27:E27"/>
    <mergeCell ref="F27:G27"/>
    <mergeCell ref="H27:I27"/>
    <mergeCell ref="J27:K27"/>
    <mergeCell ref="L27:O27"/>
    <mergeCell ref="P27:Q27"/>
    <mergeCell ref="R27:S27"/>
    <mergeCell ref="C26:E26"/>
    <mergeCell ref="F26:G26"/>
    <mergeCell ref="H26:I26"/>
    <mergeCell ref="J26:K26"/>
    <mergeCell ref="L26:O26"/>
    <mergeCell ref="P26:Q26"/>
    <mergeCell ref="T27:U27"/>
    <mergeCell ref="V27:Z27"/>
    <mergeCell ref="C28:E28"/>
    <mergeCell ref="F28:G28"/>
    <mergeCell ref="H28:I28"/>
    <mergeCell ref="J28:K28"/>
    <mergeCell ref="L28:O28"/>
    <mergeCell ref="P28:Q28"/>
    <mergeCell ref="R28:S28"/>
    <mergeCell ref="T28:U28"/>
    <mergeCell ref="V28:Z28"/>
    <mergeCell ref="C29:E29"/>
    <mergeCell ref="F29:G29"/>
    <mergeCell ref="H29:I29"/>
    <mergeCell ref="J29:K29"/>
    <mergeCell ref="L29:O29"/>
    <mergeCell ref="P29:Q29"/>
    <mergeCell ref="R29:S29"/>
    <mergeCell ref="T29:U29"/>
    <mergeCell ref="V29:Z29"/>
    <mergeCell ref="R30:S30"/>
    <mergeCell ref="T30:U30"/>
    <mergeCell ref="V30:Z30"/>
    <mergeCell ref="C31:E31"/>
    <mergeCell ref="F31:G31"/>
    <mergeCell ref="H31:I31"/>
    <mergeCell ref="J31:K31"/>
    <mergeCell ref="L31:O31"/>
    <mergeCell ref="P31:Q31"/>
    <mergeCell ref="R31:S31"/>
    <mergeCell ref="C30:E30"/>
    <mergeCell ref="F30:G30"/>
    <mergeCell ref="H30:I30"/>
    <mergeCell ref="J30:K30"/>
    <mergeCell ref="L30:O30"/>
    <mergeCell ref="P30:Q30"/>
    <mergeCell ref="T31:U31"/>
    <mergeCell ref="V31:Z31"/>
    <mergeCell ref="F32:G32"/>
    <mergeCell ref="J32:K32"/>
    <mergeCell ref="P32:Q32"/>
    <mergeCell ref="R32:S32"/>
    <mergeCell ref="T32:U32"/>
    <mergeCell ref="V32:Z32"/>
    <mergeCell ref="F33:G33"/>
    <mergeCell ref="J33:K33"/>
    <mergeCell ref="P33:Q33"/>
    <mergeCell ref="R33:S33"/>
    <mergeCell ref="T33:U33"/>
    <mergeCell ref="V33:Z33"/>
    <mergeCell ref="R34:S34"/>
    <mergeCell ref="T34:U34"/>
    <mergeCell ref="V34:Z34"/>
    <mergeCell ref="C34:E34"/>
    <mergeCell ref="F34:G34"/>
    <mergeCell ref="H34:I34"/>
    <mergeCell ref="J34:K34"/>
    <mergeCell ref="L34:O34"/>
    <mergeCell ref="P34:Q34"/>
    <mergeCell ref="C35:E35"/>
    <mergeCell ref="F35:G35"/>
    <mergeCell ref="H35:I35"/>
    <mergeCell ref="J35:K35"/>
    <mergeCell ref="L35:O35"/>
    <mergeCell ref="P35:Q35"/>
    <mergeCell ref="R35:S35"/>
    <mergeCell ref="T35:U35"/>
    <mergeCell ref="V35:Z35"/>
    <mergeCell ref="C36:E36"/>
    <mergeCell ref="F36:G36"/>
    <mergeCell ref="H36:I36"/>
    <mergeCell ref="J36:K36"/>
    <mergeCell ref="L36:O36"/>
    <mergeCell ref="P36:Q36"/>
    <mergeCell ref="R36:S36"/>
    <mergeCell ref="T36:U36"/>
    <mergeCell ref="V36:Z3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7889" r:id="rId4" name="ComboBox1">
          <controlPr locked="0" defaultSize="0" autoLine="0" listFillRange="Switch" r:id="rId5">
            <anchor moveWithCells="1">
              <from>
                <xdr:col>9</xdr:col>
                <xdr:colOff>0</xdr:colOff>
                <xdr:row>15</xdr:row>
                <xdr:rowOff>0</xdr:rowOff>
              </from>
              <to>
                <xdr:col>11</xdr:col>
                <xdr:colOff>0</xdr:colOff>
                <xdr:row>16</xdr:row>
                <xdr:rowOff>7620</xdr:rowOff>
              </to>
            </anchor>
          </controlPr>
        </control>
      </mc:Choice>
      <mc:Fallback>
        <control shapeId="37889" r:id="rId4" name="ComboBox1"/>
      </mc:Fallback>
    </mc:AlternateContent>
    <mc:AlternateContent xmlns:mc="http://schemas.openxmlformats.org/markup-compatibility/2006">
      <mc:Choice Requires="x14">
        <control shapeId="37890" r:id="rId6" name="CommandButton1">
          <controlPr locked="0" defaultSize="0" autoLine="0" r:id="rId7">
            <anchor moveWithCells="1">
              <from>
                <xdr:col>21</xdr:col>
                <xdr:colOff>388620</xdr:colOff>
                <xdr:row>9</xdr:row>
                <xdr:rowOff>160020</xdr:rowOff>
              </from>
              <to>
                <xdr:col>25</xdr:col>
                <xdr:colOff>289560</xdr:colOff>
                <xdr:row>11</xdr:row>
                <xdr:rowOff>38100</xdr:rowOff>
              </to>
            </anchor>
          </controlPr>
        </control>
      </mc:Choice>
      <mc:Fallback>
        <control shapeId="37890" r:id="rId6" name="CommandButton1"/>
      </mc:Fallback>
    </mc:AlternateContent>
    <mc:AlternateContent xmlns:mc="http://schemas.openxmlformats.org/markup-compatibility/2006">
      <mc:Choice Requires="x14">
        <control shapeId="37911" r:id="rId8" name="ComboBox2">
          <controlPr locked="0" defaultSize="0" autoLine="0" listFillRange="Switch" r:id="rId9">
            <anchor moveWithCells="1">
              <from>
                <xdr:col>9</xdr:col>
                <xdr:colOff>0</xdr:colOff>
                <xdr:row>16</xdr:row>
                <xdr:rowOff>0</xdr:rowOff>
              </from>
              <to>
                <xdr:col>11</xdr:col>
                <xdr:colOff>0</xdr:colOff>
                <xdr:row>17</xdr:row>
                <xdr:rowOff>7620</xdr:rowOff>
              </to>
            </anchor>
          </controlPr>
        </control>
      </mc:Choice>
      <mc:Fallback>
        <control shapeId="37911" r:id="rId8" name="ComboBox2"/>
      </mc:Fallback>
    </mc:AlternateContent>
    <mc:AlternateContent xmlns:mc="http://schemas.openxmlformats.org/markup-compatibility/2006">
      <mc:Choice Requires="x14">
        <control shapeId="37912" r:id="rId10" name="ComboBox3">
          <controlPr locked="0" defaultSize="0" autoLine="0" listFillRange="Switch" r:id="rId11">
            <anchor moveWithCells="1">
              <from>
                <xdr:col>9</xdr:col>
                <xdr:colOff>0</xdr:colOff>
                <xdr:row>17</xdr:row>
                <xdr:rowOff>0</xdr:rowOff>
              </from>
              <to>
                <xdr:col>11</xdr:col>
                <xdr:colOff>0</xdr:colOff>
                <xdr:row>18</xdr:row>
                <xdr:rowOff>7620</xdr:rowOff>
              </to>
            </anchor>
          </controlPr>
        </control>
      </mc:Choice>
      <mc:Fallback>
        <control shapeId="37912" r:id="rId10" name="ComboBox3"/>
      </mc:Fallback>
    </mc:AlternateContent>
    <mc:AlternateContent xmlns:mc="http://schemas.openxmlformats.org/markup-compatibility/2006">
      <mc:Choice Requires="x14">
        <control shapeId="37913" r:id="rId12" name="ComboBox4">
          <controlPr locked="0" defaultSize="0" autoLine="0" listFillRange="Switch" r:id="rId13">
            <anchor moveWithCells="1">
              <from>
                <xdr:col>9</xdr:col>
                <xdr:colOff>0</xdr:colOff>
                <xdr:row>18</xdr:row>
                <xdr:rowOff>0</xdr:rowOff>
              </from>
              <to>
                <xdr:col>11</xdr:col>
                <xdr:colOff>0</xdr:colOff>
                <xdr:row>19</xdr:row>
                <xdr:rowOff>7620</xdr:rowOff>
              </to>
            </anchor>
          </controlPr>
        </control>
      </mc:Choice>
      <mc:Fallback>
        <control shapeId="37913" r:id="rId12" name="ComboBox4"/>
      </mc:Fallback>
    </mc:AlternateContent>
    <mc:AlternateContent xmlns:mc="http://schemas.openxmlformats.org/markup-compatibility/2006">
      <mc:Choice Requires="x14">
        <control shapeId="37914" r:id="rId14" name="ComboBox5">
          <controlPr locked="0" defaultSize="0" autoLine="0" listFillRange="Switch" r:id="rId15">
            <anchor moveWithCells="1">
              <from>
                <xdr:col>9</xdr:col>
                <xdr:colOff>0</xdr:colOff>
                <xdr:row>19</xdr:row>
                <xdr:rowOff>0</xdr:rowOff>
              </from>
              <to>
                <xdr:col>11</xdr:col>
                <xdr:colOff>0</xdr:colOff>
                <xdr:row>20</xdr:row>
                <xdr:rowOff>7620</xdr:rowOff>
              </to>
            </anchor>
          </controlPr>
        </control>
      </mc:Choice>
      <mc:Fallback>
        <control shapeId="37914" r:id="rId14" name="ComboBox5"/>
      </mc:Fallback>
    </mc:AlternateContent>
    <mc:AlternateContent xmlns:mc="http://schemas.openxmlformats.org/markup-compatibility/2006">
      <mc:Choice Requires="x14">
        <control shapeId="37915" r:id="rId16" name="ComboBox6">
          <controlPr locked="0" defaultSize="0" autoLine="0" listFillRange="Switch" r:id="rId17">
            <anchor moveWithCells="1">
              <from>
                <xdr:col>9</xdr:col>
                <xdr:colOff>0</xdr:colOff>
                <xdr:row>20</xdr:row>
                <xdr:rowOff>0</xdr:rowOff>
              </from>
              <to>
                <xdr:col>11</xdr:col>
                <xdr:colOff>0</xdr:colOff>
                <xdr:row>21</xdr:row>
                <xdr:rowOff>7620</xdr:rowOff>
              </to>
            </anchor>
          </controlPr>
        </control>
      </mc:Choice>
      <mc:Fallback>
        <control shapeId="37915" r:id="rId16" name="ComboBox6"/>
      </mc:Fallback>
    </mc:AlternateContent>
    <mc:AlternateContent xmlns:mc="http://schemas.openxmlformats.org/markup-compatibility/2006">
      <mc:Choice Requires="x14">
        <control shapeId="37916" r:id="rId18" name="ComboBox7">
          <controlPr locked="0" defaultSize="0" autoLine="0" listFillRange="Switch" r:id="rId19">
            <anchor moveWithCells="1">
              <from>
                <xdr:col>9</xdr:col>
                <xdr:colOff>0</xdr:colOff>
                <xdr:row>21</xdr:row>
                <xdr:rowOff>0</xdr:rowOff>
              </from>
              <to>
                <xdr:col>11</xdr:col>
                <xdr:colOff>0</xdr:colOff>
                <xdr:row>22</xdr:row>
                <xdr:rowOff>7620</xdr:rowOff>
              </to>
            </anchor>
          </controlPr>
        </control>
      </mc:Choice>
      <mc:Fallback>
        <control shapeId="37916" r:id="rId18" name="ComboBox7"/>
      </mc:Fallback>
    </mc:AlternateContent>
    <mc:AlternateContent xmlns:mc="http://schemas.openxmlformats.org/markup-compatibility/2006">
      <mc:Choice Requires="x14">
        <control shapeId="37917" r:id="rId20" name="ComboBox8">
          <controlPr locked="0" defaultSize="0" autoLine="0" listFillRange="Switch" r:id="rId21">
            <anchor moveWithCells="1">
              <from>
                <xdr:col>9</xdr:col>
                <xdr:colOff>0</xdr:colOff>
                <xdr:row>22</xdr:row>
                <xdr:rowOff>0</xdr:rowOff>
              </from>
              <to>
                <xdr:col>11</xdr:col>
                <xdr:colOff>0</xdr:colOff>
                <xdr:row>23</xdr:row>
                <xdr:rowOff>7620</xdr:rowOff>
              </to>
            </anchor>
          </controlPr>
        </control>
      </mc:Choice>
      <mc:Fallback>
        <control shapeId="37917" r:id="rId20" name="ComboBox8"/>
      </mc:Fallback>
    </mc:AlternateContent>
    <mc:AlternateContent xmlns:mc="http://schemas.openxmlformats.org/markup-compatibility/2006">
      <mc:Choice Requires="x14">
        <control shapeId="37918" r:id="rId22" name="ComboBox9">
          <controlPr locked="0" defaultSize="0" autoLine="0" listFillRange="Switch" r:id="rId23">
            <anchor moveWithCells="1">
              <from>
                <xdr:col>9</xdr:col>
                <xdr:colOff>0</xdr:colOff>
                <xdr:row>23</xdr:row>
                <xdr:rowOff>0</xdr:rowOff>
              </from>
              <to>
                <xdr:col>11</xdr:col>
                <xdr:colOff>0</xdr:colOff>
                <xdr:row>24</xdr:row>
                <xdr:rowOff>7620</xdr:rowOff>
              </to>
            </anchor>
          </controlPr>
        </control>
      </mc:Choice>
      <mc:Fallback>
        <control shapeId="37918" r:id="rId22" name="ComboBox9"/>
      </mc:Fallback>
    </mc:AlternateContent>
    <mc:AlternateContent xmlns:mc="http://schemas.openxmlformats.org/markup-compatibility/2006">
      <mc:Choice Requires="x14">
        <control shapeId="37919" r:id="rId24" name="ComboBox10">
          <controlPr locked="0" defaultSize="0" autoLine="0" listFillRange="Switch" r:id="rId25">
            <anchor moveWithCells="1">
              <from>
                <xdr:col>9</xdr:col>
                <xdr:colOff>0</xdr:colOff>
                <xdr:row>24</xdr:row>
                <xdr:rowOff>0</xdr:rowOff>
              </from>
              <to>
                <xdr:col>11</xdr:col>
                <xdr:colOff>0</xdr:colOff>
                <xdr:row>25</xdr:row>
                <xdr:rowOff>7620</xdr:rowOff>
              </to>
            </anchor>
          </controlPr>
        </control>
      </mc:Choice>
      <mc:Fallback>
        <control shapeId="37919" r:id="rId24" name="ComboBox10"/>
      </mc:Fallback>
    </mc:AlternateContent>
    <mc:AlternateContent xmlns:mc="http://schemas.openxmlformats.org/markup-compatibility/2006">
      <mc:Choice Requires="x14">
        <control shapeId="37920" r:id="rId26" name="ComboBox11">
          <controlPr locked="0" defaultSize="0" autoLine="0" listFillRange="Switch" r:id="rId27">
            <anchor moveWithCells="1">
              <from>
                <xdr:col>9</xdr:col>
                <xdr:colOff>0</xdr:colOff>
                <xdr:row>25</xdr:row>
                <xdr:rowOff>0</xdr:rowOff>
              </from>
              <to>
                <xdr:col>11</xdr:col>
                <xdr:colOff>0</xdr:colOff>
                <xdr:row>26</xdr:row>
                <xdr:rowOff>7620</xdr:rowOff>
              </to>
            </anchor>
          </controlPr>
        </control>
      </mc:Choice>
      <mc:Fallback>
        <control shapeId="37920" r:id="rId26" name="ComboBox11"/>
      </mc:Fallback>
    </mc:AlternateContent>
    <mc:AlternateContent xmlns:mc="http://schemas.openxmlformats.org/markup-compatibility/2006">
      <mc:Choice Requires="x14">
        <control shapeId="37921" r:id="rId28" name="ComboBox12">
          <controlPr locked="0" defaultSize="0" autoLine="0" listFillRange="Switch" r:id="rId29">
            <anchor moveWithCells="1">
              <from>
                <xdr:col>9</xdr:col>
                <xdr:colOff>0</xdr:colOff>
                <xdr:row>26</xdr:row>
                <xdr:rowOff>0</xdr:rowOff>
              </from>
              <to>
                <xdr:col>11</xdr:col>
                <xdr:colOff>0</xdr:colOff>
                <xdr:row>27</xdr:row>
                <xdr:rowOff>7620</xdr:rowOff>
              </to>
            </anchor>
          </controlPr>
        </control>
      </mc:Choice>
      <mc:Fallback>
        <control shapeId="37921" r:id="rId28" name="ComboBox12"/>
      </mc:Fallback>
    </mc:AlternateContent>
    <mc:AlternateContent xmlns:mc="http://schemas.openxmlformats.org/markup-compatibility/2006">
      <mc:Choice Requires="x14">
        <control shapeId="37922" r:id="rId30" name="ComboBox13">
          <controlPr locked="0" defaultSize="0" autoLine="0" listFillRange="Switch" r:id="rId31">
            <anchor moveWithCells="1">
              <from>
                <xdr:col>9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7620</xdr:rowOff>
              </to>
            </anchor>
          </controlPr>
        </control>
      </mc:Choice>
      <mc:Fallback>
        <control shapeId="37922" r:id="rId30" name="ComboBox13"/>
      </mc:Fallback>
    </mc:AlternateContent>
    <mc:AlternateContent xmlns:mc="http://schemas.openxmlformats.org/markup-compatibility/2006">
      <mc:Choice Requires="x14">
        <control shapeId="37923" r:id="rId32" name="ComboBox14">
          <controlPr locked="0" defaultSize="0" autoLine="0" listFillRange="Switch" r:id="rId33">
            <anchor moveWithCells="1">
              <from>
                <xdr:col>9</xdr:col>
                <xdr:colOff>0</xdr:colOff>
                <xdr:row>28</xdr:row>
                <xdr:rowOff>0</xdr:rowOff>
              </from>
              <to>
                <xdr:col>11</xdr:col>
                <xdr:colOff>0</xdr:colOff>
                <xdr:row>29</xdr:row>
                <xdr:rowOff>7620</xdr:rowOff>
              </to>
            </anchor>
          </controlPr>
        </control>
      </mc:Choice>
      <mc:Fallback>
        <control shapeId="37923" r:id="rId32" name="ComboBox14"/>
      </mc:Fallback>
    </mc:AlternateContent>
    <mc:AlternateContent xmlns:mc="http://schemas.openxmlformats.org/markup-compatibility/2006">
      <mc:Choice Requires="x14">
        <control shapeId="37924" r:id="rId34" name="ComboBox15">
          <controlPr locked="0" defaultSize="0" autoLine="0" listFillRange="Switch" r:id="rId35">
            <anchor moveWithCells="1">
              <from>
                <xdr:col>9</xdr:col>
                <xdr:colOff>0</xdr:colOff>
                <xdr:row>29</xdr:row>
                <xdr:rowOff>0</xdr:rowOff>
              </from>
              <to>
                <xdr:col>11</xdr:col>
                <xdr:colOff>0</xdr:colOff>
                <xdr:row>30</xdr:row>
                <xdr:rowOff>7620</xdr:rowOff>
              </to>
            </anchor>
          </controlPr>
        </control>
      </mc:Choice>
      <mc:Fallback>
        <control shapeId="37924" r:id="rId34" name="ComboBox15"/>
      </mc:Fallback>
    </mc:AlternateContent>
    <mc:AlternateContent xmlns:mc="http://schemas.openxmlformats.org/markup-compatibility/2006">
      <mc:Choice Requires="x14">
        <control shapeId="37925" r:id="rId36" name="ComboBox16">
          <controlPr locked="0" defaultSize="0" autoLine="0" listFillRange="Switch" r:id="rId37">
            <anchor moveWithCells="1">
              <from>
                <xdr:col>9</xdr:col>
                <xdr:colOff>0</xdr:colOff>
                <xdr:row>30</xdr:row>
                <xdr:rowOff>0</xdr:rowOff>
              </from>
              <to>
                <xdr:col>11</xdr:col>
                <xdr:colOff>0</xdr:colOff>
                <xdr:row>31</xdr:row>
                <xdr:rowOff>7620</xdr:rowOff>
              </to>
            </anchor>
          </controlPr>
        </control>
      </mc:Choice>
      <mc:Fallback>
        <control shapeId="37925" r:id="rId36" name="ComboBox16"/>
      </mc:Fallback>
    </mc:AlternateContent>
    <mc:AlternateContent xmlns:mc="http://schemas.openxmlformats.org/markup-compatibility/2006">
      <mc:Choice Requires="x14">
        <control shapeId="37926" r:id="rId38" name="ComboBox17">
          <controlPr locked="0" defaultSize="0" autoLine="0" listFillRange="Switch" r:id="rId39">
            <anchor moveWithCells="1">
              <from>
                <xdr:col>9</xdr:col>
                <xdr:colOff>0</xdr:colOff>
                <xdr:row>31</xdr:row>
                <xdr:rowOff>0</xdr:rowOff>
              </from>
              <to>
                <xdr:col>11</xdr:col>
                <xdr:colOff>0</xdr:colOff>
                <xdr:row>32</xdr:row>
                <xdr:rowOff>7620</xdr:rowOff>
              </to>
            </anchor>
          </controlPr>
        </control>
      </mc:Choice>
      <mc:Fallback>
        <control shapeId="37926" r:id="rId38" name="ComboBox17"/>
      </mc:Fallback>
    </mc:AlternateContent>
    <mc:AlternateContent xmlns:mc="http://schemas.openxmlformats.org/markup-compatibility/2006">
      <mc:Choice Requires="x14">
        <control shapeId="37927" r:id="rId40" name="ComboBox18">
          <controlPr locked="0" defaultSize="0" autoLine="0" listFillRange="Switch" r:id="rId41">
            <anchor moveWithCells="1">
              <from>
                <xdr:col>9</xdr:col>
                <xdr:colOff>0</xdr:colOff>
                <xdr:row>32</xdr:row>
                <xdr:rowOff>0</xdr:rowOff>
              </from>
              <to>
                <xdr:col>11</xdr:col>
                <xdr:colOff>0</xdr:colOff>
                <xdr:row>33</xdr:row>
                <xdr:rowOff>7620</xdr:rowOff>
              </to>
            </anchor>
          </controlPr>
        </control>
      </mc:Choice>
      <mc:Fallback>
        <control shapeId="37927" r:id="rId40" name="ComboBox18"/>
      </mc:Fallback>
    </mc:AlternateContent>
    <mc:AlternateContent xmlns:mc="http://schemas.openxmlformats.org/markup-compatibility/2006">
      <mc:Choice Requires="x14">
        <control shapeId="37928" r:id="rId42" name="ComboBox19">
          <controlPr locked="0" defaultSize="0" autoLine="0" listFillRange="Switch" r:id="rId43">
            <anchor moveWithCells="1">
              <from>
                <xdr:col>9</xdr:col>
                <xdr:colOff>0</xdr:colOff>
                <xdr:row>33</xdr:row>
                <xdr:rowOff>0</xdr:rowOff>
              </from>
              <to>
                <xdr:col>11</xdr:col>
                <xdr:colOff>0</xdr:colOff>
                <xdr:row>34</xdr:row>
                <xdr:rowOff>7620</xdr:rowOff>
              </to>
            </anchor>
          </controlPr>
        </control>
      </mc:Choice>
      <mc:Fallback>
        <control shapeId="37928" r:id="rId42" name="ComboBox19"/>
      </mc:Fallback>
    </mc:AlternateContent>
    <mc:AlternateContent xmlns:mc="http://schemas.openxmlformats.org/markup-compatibility/2006">
      <mc:Choice Requires="x14">
        <control shapeId="37929" r:id="rId44" name="ComboBox20">
          <controlPr locked="0" defaultSize="0" autoLine="0" listFillRange="Switch" r:id="rId45">
            <anchor moveWithCells="1">
              <from>
                <xdr:col>9</xdr:col>
                <xdr:colOff>0</xdr:colOff>
                <xdr:row>34</xdr:row>
                <xdr:rowOff>0</xdr:rowOff>
              </from>
              <to>
                <xdr:col>11</xdr:col>
                <xdr:colOff>0</xdr:colOff>
                <xdr:row>35</xdr:row>
                <xdr:rowOff>7620</xdr:rowOff>
              </to>
            </anchor>
          </controlPr>
        </control>
      </mc:Choice>
      <mc:Fallback>
        <control shapeId="37929" r:id="rId44" name="ComboBox20"/>
      </mc:Fallback>
    </mc:AlternateContent>
    <mc:AlternateContent xmlns:mc="http://schemas.openxmlformats.org/markup-compatibility/2006">
      <mc:Choice Requires="x14">
        <control shapeId="37930" r:id="rId46" name="ComboBox21">
          <controlPr locked="0" defaultSize="0" autoLine="0" listFillRange="Switch" r:id="rId47">
            <anchor moveWithCells="1">
              <from>
                <xdr:col>9</xdr:col>
                <xdr:colOff>0</xdr:colOff>
                <xdr:row>35</xdr:row>
                <xdr:rowOff>0</xdr:rowOff>
              </from>
              <to>
                <xdr:col>11</xdr:col>
                <xdr:colOff>0</xdr:colOff>
                <xdr:row>36</xdr:row>
                <xdr:rowOff>7620</xdr:rowOff>
              </to>
            </anchor>
          </controlPr>
        </control>
      </mc:Choice>
      <mc:Fallback>
        <control shapeId="37930" r:id="rId46" name="ComboBox2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/>
  <dimension ref="B1:AA38"/>
  <sheetViews>
    <sheetView topLeftCell="J1" zoomScaleNormal="100" workbookViewId="0">
      <pane ySplit="1" topLeftCell="A2" activePane="bottomLeft" state="frozenSplit"/>
      <selection pane="bottomLeft" activeCell="X18" sqref="X18:Z18"/>
    </sheetView>
  </sheetViews>
  <sheetFormatPr defaultColWidth="9" defaultRowHeight="18" customHeight="1" x14ac:dyDescent="0.4"/>
  <cols>
    <col min="1" max="11" width="9" style="20"/>
    <col min="12" max="12" width="9" style="20" customWidth="1"/>
    <col min="13" max="16384" width="9" style="20"/>
  </cols>
  <sheetData>
    <row r="1" spans="2:27" ht="15" customHeight="1" x14ac:dyDescent="0.4"/>
    <row r="2" spans="2:27" ht="15" customHeight="1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</row>
    <row r="3" spans="2:27" ht="15" customHeight="1" x14ac:dyDescent="0.4">
      <c r="B3" s="21"/>
      <c r="AA3" s="21"/>
    </row>
    <row r="4" spans="2:27" ht="15" customHeight="1" x14ac:dyDescent="0.4">
      <c r="B4" s="21"/>
      <c r="G4" s="199" t="s">
        <v>53</v>
      </c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AA4" s="21"/>
    </row>
    <row r="5" spans="2:27" ht="15" customHeight="1" x14ac:dyDescent="0.4">
      <c r="B5" s="21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AA5" s="21"/>
    </row>
    <row r="6" spans="2:27" ht="15" customHeight="1" x14ac:dyDescent="0.4">
      <c r="B6" s="21"/>
      <c r="G6" s="200" t="s">
        <v>52</v>
      </c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AA6" s="21"/>
    </row>
    <row r="7" spans="2:27" ht="15" customHeight="1" x14ac:dyDescent="0.4">
      <c r="B7" s="21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AA7" s="21"/>
    </row>
    <row r="8" spans="2:27" ht="15" customHeight="1" x14ac:dyDescent="0.4">
      <c r="B8" s="21"/>
      <c r="AA8" s="21"/>
    </row>
    <row r="9" spans="2:27" ht="18" customHeight="1" x14ac:dyDescent="0.4"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7" ht="18" customHeight="1" x14ac:dyDescent="0.4">
      <c r="B10" s="21"/>
      <c r="C10" s="186" t="s">
        <v>42</v>
      </c>
      <c r="D10" s="186"/>
      <c r="E10" s="7"/>
      <c r="F10" s="21"/>
      <c r="G10" s="184" t="s">
        <v>44</v>
      </c>
      <c r="H10" s="185"/>
      <c r="I10" s="9"/>
      <c r="J10" s="21"/>
      <c r="K10" s="186" t="s">
        <v>51</v>
      </c>
      <c r="L10" s="186"/>
      <c r="M10" s="11"/>
      <c r="N10" s="6"/>
      <c r="O10" s="184" t="s">
        <v>50</v>
      </c>
      <c r="P10" s="185"/>
      <c r="Q10" s="13"/>
      <c r="R10" s="21"/>
      <c r="S10" s="184" t="s">
        <v>663</v>
      </c>
      <c r="T10" s="185"/>
      <c r="U10" s="2"/>
      <c r="V10" s="21"/>
      <c r="W10" s="21"/>
      <c r="X10" s="21"/>
      <c r="Y10" s="21"/>
      <c r="Z10" s="21"/>
      <c r="AA10" s="21"/>
    </row>
    <row r="11" spans="2:27" ht="18" customHeight="1" x14ac:dyDescent="0.4">
      <c r="B11" s="21"/>
      <c r="C11" s="6"/>
      <c r="D11" s="6"/>
      <c r="E11" s="6"/>
      <c r="F11" s="21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21"/>
      <c r="W11" s="21"/>
      <c r="X11" s="21"/>
      <c r="Y11" s="21"/>
      <c r="Z11" s="21"/>
      <c r="AA11" s="21"/>
    </row>
    <row r="12" spans="2:27" ht="18" customHeight="1" x14ac:dyDescent="0.4">
      <c r="B12" s="21"/>
      <c r="C12" s="186" t="s">
        <v>43</v>
      </c>
      <c r="D12" s="186"/>
      <c r="E12" s="8"/>
      <c r="F12" s="21"/>
      <c r="G12" s="184" t="s">
        <v>45</v>
      </c>
      <c r="H12" s="185"/>
      <c r="I12" s="10"/>
      <c r="J12" s="6"/>
      <c r="K12" s="186" t="s">
        <v>46</v>
      </c>
      <c r="L12" s="186"/>
      <c r="M12" s="1"/>
      <c r="N12" s="6"/>
      <c r="O12" s="186" t="s">
        <v>49</v>
      </c>
      <c r="P12" s="186"/>
      <c r="Q12" s="3"/>
      <c r="R12" s="6"/>
      <c r="S12" s="184" t="s">
        <v>48</v>
      </c>
      <c r="T12" s="185"/>
      <c r="U12" s="12"/>
      <c r="V12" s="21"/>
      <c r="W12" s="21"/>
      <c r="X12" s="21"/>
      <c r="Y12" s="21"/>
      <c r="Z12" s="21"/>
      <c r="AA12" s="21"/>
    </row>
    <row r="13" spans="2:27" ht="18" customHeight="1" x14ac:dyDescent="0.4"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</row>
    <row r="14" spans="2:27" ht="18" customHeight="1" x14ac:dyDescent="0.4">
      <c r="B14" s="21"/>
      <c r="C14" s="188" t="s">
        <v>14</v>
      </c>
      <c r="D14" s="189"/>
      <c r="E14" s="190"/>
      <c r="F14" s="188" t="s">
        <v>18</v>
      </c>
      <c r="G14" s="189"/>
      <c r="H14" s="189"/>
      <c r="I14" s="190"/>
      <c r="J14" s="188" t="s">
        <v>36</v>
      </c>
      <c r="K14" s="190"/>
      <c r="L14" s="188" t="s">
        <v>20</v>
      </c>
      <c r="M14" s="190"/>
      <c r="N14" s="188" t="s">
        <v>21</v>
      </c>
      <c r="O14" s="189"/>
      <c r="P14" s="189"/>
      <c r="Q14" s="189"/>
      <c r="R14" s="189"/>
      <c r="S14" s="189"/>
      <c r="T14" s="189"/>
      <c r="U14" s="189"/>
      <c r="V14" s="189"/>
      <c r="W14" s="190"/>
      <c r="X14" s="189" t="s">
        <v>7</v>
      </c>
      <c r="Y14" s="189"/>
      <c r="Z14" s="190"/>
      <c r="AA14" s="21"/>
    </row>
    <row r="15" spans="2:27" ht="18" customHeight="1" x14ac:dyDescent="0.4">
      <c r="B15" s="21"/>
      <c r="C15" s="191"/>
      <c r="D15" s="192"/>
      <c r="E15" s="193"/>
      <c r="F15" s="191"/>
      <c r="G15" s="192"/>
      <c r="H15" s="192"/>
      <c r="I15" s="193"/>
      <c r="J15" s="191"/>
      <c r="K15" s="193"/>
      <c r="L15" s="191"/>
      <c r="M15" s="193"/>
      <c r="N15" s="191"/>
      <c r="O15" s="192"/>
      <c r="P15" s="192"/>
      <c r="Q15" s="192"/>
      <c r="R15" s="192"/>
      <c r="S15" s="192"/>
      <c r="T15" s="192"/>
      <c r="U15" s="192"/>
      <c r="V15" s="192"/>
      <c r="W15" s="193"/>
      <c r="X15" s="192"/>
      <c r="Y15" s="192"/>
      <c r="Z15" s="193"/>
      <c r="AA15" s="21"/>
    </row>
    <row r="16" spans="2:27" ht="18" customHeight="1" x14ac:dyDescent="0.4">
      <c r="B16" s="21"/>
      <c r="C16" s="176" t="s">
        <v>191</v>
      </c>
      <c r="D16" s="177"/>
      <c r="E16" s="178"/>
      <c r="F16" s="176" t="s">
        <v>654</v>
      </c>
      <c r="G16" s="177"/>
      <c r="H16" s="177"/>
      <c r="I16" s="178"/>
      <c r="J16" s="203">
        <f>mass</f>
        <v>1.68</v>
      </c>
      <c r="K16" s="212"/>
      <c r="L16" s="176" t="s">
        <v>172</v>
      </c>
      <c r="M16" s="178"/>
      <c r="N16" s="19"/>
      <c r="O16" s="22"/>
      <c r="P16" s="19"/>
      <c r="Q16" s="23"/>
      <c r="R16" s="23"/>
      <c r="S16" s="23"/>
      <c r="T16" s="23"/>
      <c r="U16" s="23"/>
      <c r="V16" s="23"/>
      <c r="W16" s="23"/>
      <c r="X16" s="147"/>
      <c r="Y16" s="148"/>
      <c r="Z16" s="149"/>
      <c r="AA16" s="21"/>
    </row>
    <row r="17" spans="2:27" ht="18" customHeight="1" x14ac:dyDescent="0.4">
      <c r="B17" s="21"/>
      <c r="C17" s="176" t="s">
        <v>192</v>
      </c>
      <c r="D17" s="177"/>
      <c r="E17" s="178"/>
      <c r="F17" s="176" t="s">
        <v>655</v>
      </c>
      <c r="G17" s="177"/>
      <c r="H17" s="177"/>
      <c r="I17" s="178"/>
      <c r="J17" s="203">
        <f>power</f>
        <v>11.97</v>
      </c>
      <c r="K17" s="212"/>
      <c r="L17" s="176" t="s">
        <v>41</v>
      </c>
      <c r="M17" s="178"/>
      <c r="N17" s="19"/>
      <c r="O17" s="22"/>
      <c r="P17" s="19"/>
      <c r="Q17" s="23"/>
      <c r="R17" s="23"/>
      <c r="S17" s="23"/>
      <c r="T17" s="23"/>
      <c r="U17" s="23"/>
      <c r="V17" s="23"/>
      <c r="W17" s="23"/>
      <c r="X17" s="147"/>
      <c r="Y17" s="148"/>
      <c r="Z17" s="149"/>
      <c r="AA17" s="21"/>
    </row>
    <row r="18" spans="2:27" ht="18" customHeight="1" x14ac:dyDescent="0.4">
      <c r="B18" s="21"/>
      <c r="C18" s="176" t="s">
        <v>656</v>
      </c>
      <c r="D18" s="177"/>
      <c r="E18" s="178"/>
      <c r="F18" s="176" t="s">
        <v>645</v>
      </c>
      <c r="G18" s="177"/>
      <c r="H18" s="177"/>
      <c r="I18" s="178"/>
      <c r="J18" s="176" t="str">
        <f>stabilisation</f>
        <v>3-axis</v>
      </c>
      <c r="K18" s="178"/>
      <c r="L18" s="176" t="s">
        <v>35</v>
      </c>
      <c r="M18" s="178"/>
      <c r="N18" s="19"/>
      <c r="O18" s="22"/>
      <c r="P18" s="19"/>
      <c r="Q18" s="23"/>
      <c r="R18" s="23"/>
      <c r="S18" s="23"/>
      <c r="T18" s="23"/>
      <c r="U18" s="23"/>
      <c r="V18" s="23"/>
      <c r="W18" s="23"/>
      <c r="X18" s="147"/>
      <c r="Y18" s="148"/>
      <c r="Z18" s="149"/>
      <c r="AA18" s="21"/>
    </row>
    <row r="19" spans="2:27" ht="18" customHeight="1" x14ac:dyDescent="0.4">
      <c r="B19" s="21"/>
      <c r="C19" s="176" t="s">
        <v>657</v>
      </c>
      <c r="D19" s="177"/>
      <c r="E19" s="178"/>
      <c r="F19" s="176" t="s">
        <v>644</v>
      </c>
      <c r="G19" s="177"/>
      <c r="H19" s="177"/>
      <c r="I19" s="178"/>
      <c r="J19" s="176" t="str">
        <f>attitude</f>
        <v>Fixed</v>
      </c>
      <c r="K19" s="178"/>
      <c r="L19" s="176" t="s">
        <v>35</v>
      </c>
      <c r="M19" s="178"/>
      <c r="N19" s="19"/>
      <c r="O19" s="22"/>
      <c r="P19" s="19"/>
      <c r="Q19" s="23"/>
      <c r="R19" s="23"/>
      <c r="S19" s="23"/>
      <c r="T19" s="23"/>
      <c r="U19" s="23"/>
      <c r="V19" s="23"/>
      <c r="W19" s="23"/>
      <c r="X19" s="147"/>
      <c r="Y19" s="148"/>
      <c r="Z19" s="149"/>
      <c r="AA19" s="21"/>
    </row>
    <row r="20" spans="2:27" ht="18" customHeight="1" x14ac:dyDescent="0.4">
      <c r="B20" s="21"/>
      <c r="C20" s="176" t="s">
        <v>658</v>
      </c>
      <c r="D20" s="177"/>
      <c r="E20" s="178"/>
      <c r="F20" s="176" t="s">
        <v>650</v>
      </c>
      <c r="G20" s="177"/>
      <c r="H20" s="177"/>
      <c r="I20" s="178"/>
      <c r="J20" s="176" t="str">
        <f>spin_axis</f>
        <v>Z</v>
      </c>
      <c r="K20" s="178"/>
      <c r="L20" s="176" t="s">
        <v>35</v>
      </c>
      <c r="M20" s="178"/>
      <c r="N20" s="19"/>
      <c r="O20" s="22"/>
      <c r="P20" s="19"/>
      <c r="Q20" s="23"/>
      <c r="R20" s="23"/>
      <c r="S20" s="23"/>
      <c r="T20" s="23"/>
      <c r="U20" s="23"/>
      <c r="V20" s="23"/>
      <c r="W20" s="23"/>
      <c r="X20" s="147"/>
      <c r="Y20" s="148"/>
      <c r="Z20" s="149"/>
      <c r="AA20" s="21"/>
    </row>
    <row r="21" spans="2:27" ht="18" customHeight="1" x14ac:dyDescent="0.4">
      <c r="B21" s="21"/>
      <c r="C21" s="176" t="s">
        <v>659</v>
      </c>
      <c r="D21" s="177"/>
      <c r="E21" s="178"/>
      <c r="F21" s="176" t="s">
        <v>651</v>
      </c>
      <c r="G21" s="177"/>
      <c r="H21" s="177"/>
      <c r="I21" s="178"/>
      <c r="J21" s="176">
        <f>spin_rot_vel</f>
        <v>0</v>
      </c>
      <c r="K21" s="178"/>
      <c r="L21" s="176" t="s">
        <v>216</v>
      </c>
      <c r="M21" s="178"/>
      <c r="N21" s="19"/>
      <c r="O21" s="22"/>
      <c r="P21" s="19"/>
      <c r="Q21" s="23"/>
      <c r="R21" s="23"/>
      <c r="S21" s="23"/>
      <c r="T21" s="23"/>
      <c r="U21" s="23"/>
      <c r="V21" s="23"/>
      <c r="W21" s="23"/>
      <c r="X21" s="147"/>
      <c r="Y21" s="148"/>
      <c r="Z21" s="149"/>
      <c r="AA21" s="21"/>
    </row>
    <row r="22" spans="2:27" ht="18" customHeight="1" x14ac:dyDescent="0.4">
      <c r="B22" s="21"/>
      <c r="C22" s="176" t="s">
        <v>284</v>
      </c>
      <c r="D22" s="177"/>
      <c r="E22" s="178"/>
      <c r="F22" s="176" t="s">
        <v>648</v>
      </c>
      <c r="G22" s="177"/>
      <c r="H22" s="177"/>
      <c r="I22" s="178"/>
      <c r="J22" s="176">
        <f>temp_min</f>
        <v>0</v>
      </c>
      <c r="K22" s="178"/>
      <c r="L22" s="176" t="s">
        <v>184</v>
      </c>
      <c r="M22" s="178"/>
      <c r="N22" s="19"/>
      <c r="O22" s="22"/>
      <c r="P22" s="19"/>
      <c r="Q22" s="23"/>
      <c r="R22" s="23"/>
      <c r="S22" s="23"/>
      <c r="T22" s="23"/>
      <c r="U22" s="23"/>
      <c r="V22" s="23"/>
      <c r="W22" s="23"/>
      <c r="X22" s="147"/>
      <c r="Y22" s="148"/>
      <c r="Z22" s="149"/>
      <c r="AA22" s="21"/>
    </row>
    <row r="23" spans="2:27" ht="18" customHeight="1" x14ac:dyDescent="0.4">
      <c r="B23" s="21"/>
      <c r="C23" s="176" t="s">
        <v>283</v>
      </c>
      <c r="D23" s="177"/>
      <c r="E23" s="178"/>
      <c r="F23" s="176" t="s">
        <v>646</v>
      </c>
      <c r="G23" s="177"/>
      <c r="H23" s="177"/>
      <c r="I23" s="178"/>
      <c r="J23" s="176">
        <f>temp_max</f>
        <v>0</v>
      </c>
      <c r="K23" s="178"/>
      <c r="L23" s="176" t="s">
        <v>184</v>
      </c>
      <c r="M23" s="178"/>
      <c r="N23" s="19"/>
      <c r="O23" s="22"/>
      <c r="P23" s="19"/>
      <c r="Q23" s="23"/>
      <c r="R23" s="23"/>
      <c r="S23" s="23"/>
      <c r="T23" s="23"/>
      <c r="U23" s="23"/>
      <c r="V23" s="23"/>
      <c r="W23" s="23"/>
      <c r="X23" s="147"/>
      <c r="Y23" s="148"/>
      <c r="Z23" s="149"/>
      <c r="AA23" s="21"/>
    </row>
    <row r="24" spans="2:27" ht="18" customHeight="1" x14ac:dyDescent="0.4">
      <c r="B24" s="21"/>
      <c r="C24" s="176" t="s">
        <v>316</v>
      </c>
      <c r="D24" s="177"/>
      <c r="E24" s="178"/>
      <c r="F24" s="176" t="s">
        <v>649</v>
      </c>
      <c r="G24" s="177"/>
      <c r="H24" s="177"/>
      <c r="I24" s="178"/>
      <c r="J24" s="176">
        <f>thrusters_num</f>
        <v>2</v>
      </c>
      <c r="K24" s="178"/>
      <c r="L24" s="176" t="s">
        <v>35</v>
      </c>
      <c r="M24" s="178"/>
      <c r="N24" s="19"/>
      <c r="O24" s="22"/>
      <c r="P24" s="19"/>
      <c r="Q24" s="23"/>
      <c r="R24" s="23"/>
      <c r="S24" s="23"/>
      <c r="T24" s="23"/>
      <c r="U24" s="23"/>
      <c r="V24" s="23"/>
      <c r="W24" s="23"/>
      <c r="X24" s="147"/>
      <c r="Y24" s="148"/>
      <c r="Z24" s="149"/>
      <c r="AA24" s="21"/>
    </row>
    <row r="25" spans="2:27" ht="18" customHeight="1" x14ac:dyDescent="0.4">
      <c r="B25" s="21"/>
      <c r="C25" s="176" t="s">
        <v>660</v>
      </c>
      <c r="D25" s="177"/>
      <c r="E25" s="178"/>
      <c r="F25" s="176" t="s">
        <v>653</v>
      </c>
      <c r="G25" s="177"/>
      <c r="H25" s="177"/>
      <c r="I25" s="178"/>
      <c r="J25" s="176">
        <f>thrusters_thrust</f>
        <v>2.9156086664757668E-8</v>
      </c>
      <c r="K25" s="178"/>
      <c r="L25" s="176" t="s">
        <v>173</v>
      </c>
      <c r="M25" s="178"/>
      <c r="N25" s="19"/>
      <c r="O25" s="22"/>
      <c r="P25" s="19"/>
      <c r="Q25" s="23"/>
      <c r="R25" s="23"/>
      <c r="S25" s="23"/>
      <c r="T25" s="23"/>
      <c r="U25" s="23"/>
      <c r="V25" s="23"/>
      <c r="W25" s="23"/>
      <c r="X25" s="147"/>
      <c r="Y25" s="148"/>
      <c r="Z25" s="149"/>
      <c r="AA25" s="21"/>
    </row>
    <row r="26" spans="2:27" ht="18" customHeight="1" x14ac:dyDescent="0.4">
      <c r="B26" s="21"/>
      <c r="C26" s="176" t="s">
        <v>661</v>
      </c>
      <c r="D26" s="177"/>
      <c r="E26" s="178"/>
      <c r="F26" s="176" t="s">
        <v>652</v>
      </c>
      <c r="G26" s="177"/>
      <c r="H26" s="177"/>
      <c r="I26" s="178"/>
      <c r="J26" s="176">
        <f>thrusters_b_time</f>
        <v>0</v>
      </c>
      <c r="K26" s="178"/>
      <c r="L26" s="176" t="s">
        <v>174</v>
      </c>
      <c r="M26" s="178"/>
      <c r="N26" s="19"/>
      <c r="O26" s="22"/>
      <c r="P26" s="19"/>
      <c r="Q26" s="23"/>
      <c r="R26" s="23"/>
      <c r="S26" s="23"/>
      <c r="T26" s="23"/>
      <c r="U26" s="23"/>
      <c r="V26" s="23"/>
      <c r="W26" s="23"/>
      <c r="X26" s="147"/>
      <c r="Y26" s="148"/>
      <c r="Z26" s="149"/>
      <c r="AA26" s="21"/>
    </row>
    <row r="27" spans="2:27" ht="18" customHeight="1" x14ac:dyDescent="0.4">
      <c r="B27" s="21"/>
      <c r="C27" s="176" t="s">
        <v>662</v>
      </c>
      <c r="D27" s="177"/>
      <c r="E27" s="178"/>
      <c r="F27" s="176" t="s">
        <v>647</v>
      </c>
      <c r="G27" s="177"/>
      <c r="H27" s="177"/>
      <c r="I27" s="178"/>
      <c r="J27" s="176">
        <f>thrusters_arm_max</f>
        <v>0.13500000000000001</v>
      </c>
      <c r="K27" s="178"/>
      <c r="L27" s="176" t="s">
        <v>110</v>
      </c>
      <c r="M27" s="178"/>
      <c r="N27" s="19"/>
      <c r="O27" s="22"/>
      <c r="P27" s="19"/>
      <c r="Q27" s="23"/>
      <c r="R27" s="23"/>
      <c r="S27" s="23"/>
      <c r="T27" s="23"/>
      <c r="U27" s="23"/>
      <c r="V27" s="23"/>
      <c r="W27" s="23"/>
      <c r="X27" s="147"/>
      <c r="Y27" s="148"/>
      <c r="Z27" s="149"/>
      <c r="AA27" s="21"/>
    </row>
    <row r="28" spans="2:27" ht="18" customHeight="1" x14ac:dyDescent="0.4">
      <c r="B28" s="21"/>
      <c r="C28" s="176"/>
      <c r="D28" s="177"/>
      <c r="E28" s="178"/>
      <c r="F28" s="176"/>
      <c r="G28" s="177"/>
      <c r="H28" s="177"/>
      <c r="I28" s="178"/>
      <c r="J28" s="176"/>
      <c r="K28" s="178"/>
      <c r="L28" s="176"/>
      <c r="M28" s="178"/>
      <c r="N28" s="19"/>
      <c r="O28" s="22"/>
      <c r="P28" s="19"/>
      <c r="Q28" s="23"/>
      <c r="R28" s="23"/>
      <c r="S28" s="23"/>
      <c r="T28" s="23"/>
      <c r="U28" s="23"/>
      <c r="V28" s="23"/>
      <c r="W28" s="23"/>
      <c r="X28" s="147"/>
      <c r="Y28" s="148"/>
      <c r="Z28" s="149"/>
      <c r="AA28" s="21"/>
    </row>
    <row r="29" spans="2:27" ht="18" customHeight="1" x14ac:dyDescent="0.4">
      <c r="B29" s="21"/>
      <c r="C29" s="176"/>
      <c r="D29" s="177"/>
      <c r="E29" s="178"/>
      <c r="F29" s="176"/>
      <c r="G29" s="177"/>
      <c r="H29" s="177"/>
      <c r="I29" s="178"/>
      <c r="J29" s="176"/>
      <c r="K29" s="178"/>
      <c r="L29" s="176"/>
      <c r="M29" s="178"/>
      <c r="N29" s="19"/>
      <c r="O29" s="22"/>
      <c r="P29" s="19"/>
      <c r="Q29" s="23"/>
      <c r="R29" s="23"/>
      <c r="S29" s="23"/>
      <c r="T29" s="23"/>
      <c r="U29" s="23"/>
      <c r="V29" s="23"/>
      <c r="W29" s="23"/>
      <c r="X29" s="147"/>
      <c r="Y29" s="148"/>
      <c r="Z29" s="149"/>
      <c r="AA29" s="21"/>
    </row>
    <row r="30" spans="2:27" ht="18" customHeight="1" x14ac:dyDescent="0.4">
      <c r="B30" s="21"/>
      <c r="C30" s="176"/>
      <c r="D30" s="177"/>
      <c r="E30" s="178"/>
      <c r="F30" s="176"/>
      <c r="G30" s="177"/>
      <c r="H30" s="177"/>
      <c r="I30" s="178"/>
      <c r="J30" s="176"/>
      <c r="K30" s="178"/>
      <c r="L30" s="176"/>
      <c r="M30" s="178"/>
      <c r="N30" s="19"/>
      <c r="O30" s="22"/>
      <c r="P30" s="19"/>
      <c r="Q30" s="23"/>
      <c r="R30" s="23"/>
      <c r="S30" s="23"/>
      <c r="T30" s="23"/>
      <c r="U30" s="23"/>
      <c r="V30" s="23"/>
      <c r="W30" s="23"/>
      <c r="X30" s="147"/>
      <c r="Y30" s="148"/>
      <c r="Z30" s="149"/>
      <c r="AA30" s="21"/>
    </row>
    <row r="31" spans="2:27" ht="18" customHeight="1" x14ac:dyDescent="0.4">
      <c r="B31" s="21"/>
      <c r="C31" s="176"/>
      <c r="D31" s="177"/>
      <c r="E31" s="178"/>
      <c r="F31" s="176"/>
      <c r="G31" s="177"/>
      <c r="H31" s="177"/>
      <c r="I31" s="178"/>
      <c r="J31" s="176"/>
      <c r="K31" s="178"/>
      <c r="L31" s="176"/>
      <c r="M31" s="178"/>
      <c r="N31" s="19"/>
      <c r="O31" s="22"/>
      <c r="P31" s="19"/>
      <c r="Q31" s="23"/>
      <c r="R31" s="23"/>
      <c r="S31" s="23"/>
      <c r="T31" s="23"/>
      <c r="U31" s="23"/>
      <c r="V31" s="23"/>
      <c r="W31" s="23"/>
      <c r="X31" s="147"/>
      <c r="Y31" s="148"/>
      <c r="Z31" s="149"/>
      <c r="AA31" s="21"/>
    </row>
    <row r="32" spans="2:27" ht="18" customHeight="1" x14ac:dyDescent="0.4">
      <c r="B32" s="21"/>
      <c r="C32" s="176"/>
      <c r="D32" s="177"/>
      <c r="E32" s="178"/>
      <c r="F32" s="176"/>
      <c r="G32" s="177"/>
      <c r="H32" s="177"/>
      <c r="I32" s="178"/>
      <c r="J32" s="176"/>
      <c r="K32" s="178"/>
      <c r="L32" s="176"/>
      <c r="M32" s="178"/>
      <c r="N32" s="19"/>
      <c r="O32" s="22"/>
      <c r="P32" s="19"/>
      <c r="Q32" s="23"/>
      <c r="R32" s="23"/>
      <c r="S32" s="23"/>
      <c r="T32" s="23"/>
      <c r="U32" s="23"/>
      <c r="V32" s="23"/>
      <c r="W32" s="23"/>
      <c r="X32" s="147"/>
      <c r="Y32" s="148"/>
      <c r="Z32" s="149"/>
      <c r="AA32" s="21"/>
    </row>
    <row r="33" spans="2:27" ht="18" customHeight="1" x14ac:dyDescent="0.4">
      <c r="B33" s="21"/>
      <c r="C33" s="176"/>
      <c r="D33" s="177"/>
      <c r="E33" s="178"/>
      <c r="F33" s="176"/>
      <c r="G33" s="177"/>
      <c r="H33" s="177"/>
      <c r="I33" s="178"/>
      <c r="J33" s="176"/>
      <c r="K33" s="178"/>
      <c r="L33" s="176"/>
      <c r="M33" s="178"/>
      <c r="N33" s="19"/>
      <c r="O33" s="22"/>
      <c r="P33" s="19"/>
      <c r="Q33" s="23"/>
      <c r="R33" s="23"/>
      <c r="S33" s="23"/>
      <c r="T33" s="23"/>
      <c r="U33" s="23"/>
      <c r="V33" s="23"/>
      <c r="W33" s="23"/>
      <c r="X33" s="147"/>
      <c r="Y33" s="148"/>
      <c r="Z33" s="149"/>
      <c r="AA33" s="21"/>
    </row>
    <row r="34" spans="2:27" ht="18" customHeight="1" x14ac:dyDescent="0.4">
      <c r="B34" s="21"/>
      <c r="C34" s="176"/>
      <c r="D34" s="177"/>
      <c r="E34" s="178"/>
      <c r="F34" s="176"/>
      <c r="G34" s="177"/>
      <c r="H34" s="177"/>
      <c r="I34" s="178"/>
      <c r="J34" s="176"/>
      <c r="K34" s="178"/>
      <c r="L34" s="176"/>
      <c r="M34" s="178"/>
      <c r="N34" s="19"/>
      <c r="O34" s="22"/>
      <c r="P34" s="19"/>
      <c r="Q34" s="23"/>
      <c r="R34" s="23"/>
      <c r="S34" s="23"/>
      <c r="T34" s="23"/>
      <c r="U34" s="23"/>
      <c r="V34" s="23"/>
      <c r="W34" s="23"/>
      <c r="X34" s="147"/>
      <c r="Y34" s="148"/>
      <c r="Z34" s="149"/>
      <c r="AA34" s="21"/>
    </row>
    <row r="35" spans="2:27" ht="18" customHeight="1" x14ac:dyDescent="0.4">
      <c r="B35" s="21"/>
      <c r="C35" s="176"/>
      <c r="D35" s="177"/>
      <c r="E35" s="178"/>
      <c r="F35" s="176"/>
      <c r="G35" s="177"/>
      <c r="H35" s="177"/>
      <c r="I35" s="178"/>
      <c r="J35" s="176"/>
      <c r="K35" s="178"/>
      <c r="L35" s="176"/>
      <c r="M35" s="178"/>
      <c r="N35" s="19"/>
      <c r="O35" s="22"/>
      <c r="P35" s="19"/>
      <c r="Q35" s="23"/>
      <c r="R35" s="23"/>
      <c r="S35" s="23"/>
      <c r="T35" s="23"/>
      <c r="U35" s="23"/>
      <c r="V35" s="23"/>
      <c r="W35" s="23"/>
      <c r="X35" s="147"/>
      <c r="Y35" s="148"/>
      <c r="Z35" s="149"/>
      <c r="AA35" s="21"/>
    </row>
    <row r="36" spans="2:27" ht="18" customHeight="1" x14ac:dyDescent="0.4">
      <c r="B36" s="21"/>
      <c r="C36" s="176"/>
      <c r="D36" s="177"/>
      <c r="E36" s="178"/>
      <c r="F36" s="176"/>
      <c r="G36" s="177"/>
      <c r="H36" s="177"/>
      <c r="I36" s="178"/>
      <c r="J36" s="176"/>
      <c r="K36" s="178"/>
      <c r="L36" s="176"/>
      <c r="M36" s="178"/>
      <c r="N36" s="19"/>
      <c r="O36" s="22"/>
      <c r="P36" s="19"/>
      <c r="Q36" s="23"/>
      <c r="R36" s="23"/>
      <c r="S36" s="23"/>
      <c r="T36" s="23"/>
      <c r="U36" s="23"/>
      <c r="V36" s="23"/>
      <c r="W36" s="23"/>
      <c r="X36" s="147"/>
      <c r="Y36" s="148"/>
      <c r="Z36" s="149"/>
      <c r="AA36" s="21"/>
    </row>
    <row r="37" spans="2:27" ht="18" customHeight="1" x14ac:dyDescent="0.4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</row>
    <row r="38" spans="2:27" ht="18" customHeight="1" x14ac:dyDescent="0.4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</row>
  </sheetData>
  <sheetProtection password="F5DA" sheet="1" objects="1" scenarios="1" selectLockedCells="1"/>
  <mergeCells count="123">
    <mergeCell ref="G4:U5"/>
    <mergeCell ref="G6:U7"/>
    <mergeCell ref="C10:D10"/>
    <mergeCell ref="G10:H10"/>
    <mergeCell ref="K10:L10"/>
    <mergeCell ref="O10:P10"/>
    <mergeCell ref="S10:T10"/>
    <mergeCell ref="X14:Z15"/>
    <mergeCell ref="C16:E16"/>
    <mergeCell ref="X16:Z16"/>
    <mergeCell ref="C12:D12"/>
    <mergeCell ref="G12:H12"/>
    <mergeCell ref="K12:L12"/>
    <mergeCell ref="O12:P12"/>
    <mergeCell ref="S12:T12"/>
    <mergeCell ref="C14:E15"/>
    <mergeCell ref="F14:I15"/>
    <mergeCell ref="J14:K15"/>
    <mergeCell ref="L14:M15"/>
    <mergeCell ref="N14:W15"/>
    <mergeCell ref="X17:Z17"/>
    <mergeCell ref="C18:E18"/>
    <mergeCell ref="F17:I17"/>
    <mergeCell ref="J17:K17"/>
    <mergeCell ref="L17:M17"/>
    <mergeCell ref="X18:Z18"/>
    <mergeCell ref="C17:E17"/>
    <mergeCell ref="F16:I16"/>
    <mergeCell ref="J16:K16"/>
    <mergeCell ref="L16:M16"/>
    <mergeCell ref="C19:E19"/>
    <mergeCell ref="F18:I18"/>
    <mergeCell ref="J18:K18"/>
    <mergeCell ref="L18:M18"/>
    <mergeCell ref="X19:Z19"/>
    <mergeCell ref="C20:E20"/>
    <mergeCell ref="F30:I30"/>
    <mergeCell ref="J30:K30"/>
    <mergeCell ref="L30:M30"/>
    <mergeCell ref="X20:Z20"/>
    <mergeCell ref="F19:I19"/>
    <mergeCell ref="J19:K19"/>
    <mergeCell ref="L19:M19"/>
    <mergeCell ref="F20:I20"/>
    <mergeCell ref="J20:K20"/>
    <mergeCell ref="L20:M20"/>
    <mergeCell ref="F22:I22"/>
    <mergeCell ref="J22:K22"/>
    <mergeCell ref="L22:M22"/>
    <mergeCell ref="F21:I21"/>
    <mergeCell ref="J21:K21"/>
    <mergeCell ref="L21:M21"/>
    <mergeCell ref="C21:E21"/>
    <mergeCell ref="X21:Z21"/>
    <mergeCell ref="C22:E22"/>
    <mergeCell ref="F32:I32"/>
    <mergeCell ref="J32:K32"/>
    <mergeCell ref="L32:M32"/>
    <mergeCell ref="X22:Z22"/>
    <mergeCell ref="C23:E23"/>
    <mergeCell ref="F26:I26"/>
    <mergeCell ref="J26:K26"/>
    <mergeCell ref="L26:M26"/>
    <mergeCell ref="X26:Z26"/>
    <mergeCell ref="C27:E27"/>
    <mergeCell ref="F27:I27"/>
    <mergeCell ref="J27:K27"/>
    <mergeCell ref="L27:M27"/>
    <mergeCell ref="X27:Z27"/>
    <mergeCell ref="C28:E28"/>
    <mergeCell ref="F28:I28"/>
    <mergeCell ref="J28:K28"/>
    <mergeCell ref="L28:M28"/>
    <mergeCell ref="X28:Z28"/>
    <mergeCell ref="X23:Z23"/>
    <mergeCell ref="C24:E24"/>
    <mergeCell ref="C25:E25"/>
    <mergeCell ref="C26:E26"/>
    <mergeCell ref="X24:Z24"/>
    <mergeCell ref="F33:I33"/>
    <mergeCell ref="J33:K33"/>
    <mergeCell ref="L33:M33"/>
    <mergeCell ref="F23:I23"/>
    <mergeCell ref="J23:K23"/>
    <mergeCell ref="L23:M23"/>
    <mergeCell ref="F24:I24"/>
    <mergeCell ref="J24:K24"/>
    <mergeCell ref="L24:M24"/>
    <mergeCell ref="F25:I25"/>
    <mergeCell ref="J25:K25"/>
    <mergeCell ref="L25:M25"/>
    <mergeCell ref="X25:Z25"/>
    <mergeCell ref="F31:I31"/>
    <mergeCell ref="J31:K31"/>
    <mergeCell ref="L31:M31"/>
    <mergeCell ref="C31:E31"/>
    <mergeCell ref="X31:Z31"/>
    <mergeCell ref="C32:E32"/>
    <mergeCell ref="X32:Z32"/>
    <mergeCell ref="C29:E29"/>
    <mergeCell ref="F29:I29"/>
    <mergeCell ref="J29:K29"/>
    <mergeCell ref="L29:M29"/>
    <mergeCell ref="X29:Z29"/>
    <mergeCell ref="C30:E30"/>
    <mergeCell ref="X30:Z30"/>
    <mergeCell ref="C35:E35"/>
    <mergeCell ref="X35:Z35"/>
    <mergeCell ref="C36:E36"/>
    <mergeCell ref="F36:I36"/>
    <mergeCell ref="J36:K36"/>
    <mergeCell ref="L36:M36"/>
    <mergeCell ref="X36:Z36"/>
    <mergeCell ref="C33:E33"/>
    <mergeCell ref="X33:Z33"/>
    <mergeCell ref="C34:E34"/>
    <mergeCell ref="X34:Z34"/>
    <mergeCell ref="F35:I35"/>
    <mergeCell ref="J35:K35"/>
    <mergeCell ref="L35:M35"/>
    <mergeCell ref="F34:I34"/>
    <mergeCell ref="J34:K34"/>
    <mergeCell ref="L34:M3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locked="0" defaultSize="0" autoLine="0" r:id="rId5">
            <anchor moveWithCells="1">
              <from>
                <xdr:col>21</xdr:col>
                <xdr:colOff>388620</xdr:colOff>
                <xdr:row>9</xdr:row>
                <xdr:rowOff>160020</xdr:rowOff>
              </from>
              <to>
                <xdr:col>24</xdr:col>
                <xdr:colOff>670560</xdr:colOff>
                <xdr:row>11</xdr:row>
                <xdr:rowOff>38100</xdr:rowOff>
              </to>
            </anchor>
          </controlPr>
        </control>
      </mc:Choice>
      <mc:Fallback>
        <control shapeId="2764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B1:AA50"/>
  <sheetViews>
    <sheetView zoomScaleNormal="100" workbookViewId="0">
      <pane ySplit="9" topLeftCell="A25" activePane="bottomLeft" state="frozen"/>
      <selection pane="bottomLeft" activeCell="A35" sqref="A35:XFD35"/>
    </sheetView>
  </sheetViews>
  <sheetFormatPr defaultColWidth="9" defaultRowHeight="18" customHeight="1" x14ac:dyDescent="0.4"/>
  <cols>
    <col min="1" max="16384" width="9" style="4"/>
  </cols>
  <sheetData>
    <row r="1" spans="2:27" ht="15" customHeight="1" x14ac:dyDescent="0.4"/>
    <row r="2" spans="2:27" ht="15" customHeight="1" x14ac:dyDescent="0.4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</row>
    <row r="3" spans="2:27" ht="15" customHeight="1" x14ac:dyDescent="0.4">
      <c r="B3" s="5"/>
      <c r="AA3" s="5"/>
    </row>
    <row r="4" spans="2:27" ht="15" customHeight="1" x14ac:dyDescent="0.4">
      <c r="B4" s="5"/>
      <c r="G4" s="199" t="s">
        <v>53</v>
      </c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AA4" s="5"/>
    </row>
    <row r="5" spans="2:27" ht="15" customHeight="1" x14ac:dyDescent="0.4">
      <c r="B5" s="5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AA5" s="5"/>
    </row>
    <row r="6" spans="2:27" ht="15" customHeight="1" x14ac:dyDescent="0.4">
      <c r="B6" s="5"/>
      <c r="G6" s="200" t="s">
        <v>639</v>
      </c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AA6" s="5"/>
    </row>
    <row r="7" spans="2:27" ht="15" customHeight="1" x14ac:dyDescent="0.4">
      <c r="B7" s="5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AA7" s="5"/>
    </row>
    <row r="8" spans="2:27" ht="15" customHeight="1" x14ac:dyDescent="0.4">
      <c r="B8" s="5"/>
      <c r="AA8" s="5"/>
    </row>
    <row r="9" spans="2:27" ht="18" customHeight="1" x14ac:dyDescent="0.4">
      <c r="B9" s="5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5"/>
    </row>
    <row r="10" spans="2:27" ht="18" customHeight="1" x14ac:dyDescent="0.4">
      <c r="B10" s="5"/>
      <c r="C10" s="14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5"/>
      <c r="AA10" s="5"/>
    </row>
    <row r="11" spans="2:27" ht="18" customHeight="1" x14ac:dyDescent="0.4">
      <c r="B11" s="5"/>
      <c r="C11" s="14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5"/>
      <c r="AA11" s="5"/>
    </row>
    <row r="12" spans="2:27" ht="18" customHeight="1" x14ac:dyDescent="0.4">
      <c r="B12" s="5"/>
      <c r="C12" s="14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5"/>
      <c r="AA12" s="5"/>
    </row>
    <row r="13" spans="2:27" ht="18" customHeight="1" x14ac:dyDescent="0.4">
      <c r="B13" s="5"/>
      <c r="C13" s="14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5"/>
      <c r="AA13" s="5"/>
    </row>
    <row r="14" spans="2:27" ht="18" customHeight="1" x14ac:dyDescent="0.4">
      <c r="B14" s="5"/>
      <c r="C14" s="14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5"/>
      <c r="AA14" s="5"/>
    </row>
    <row r="15" spans="2:27" ht="18" customHeight="1" x14ac:dyDescent="0.4">
      <c r="B15" s="5"/>
      <c r="C15" s="14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5"/>
      <c r="AA15" s="5"/>
    </row>
    <row r="16" spans="2:27" ht="18" customHeight="1" x14ac:dyDescent="0.4">
      <c r="B16" s="5"/>
      <c r="C16" s="14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5"/>
      <c r="AA16" s="5"/>
    </row>
    <row r="17" spans="2:27" ht="18" customHeight="1" x14ac:dyDescent="0.4">
      <c r="B17" s="5"/>
      <c r="C17" s="14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5"/>
      <c r="AA17" s="5"/>
    </row>
    <row r="18" spans="2:27" ht="18" customHeight="1" x14ac:dyDescent="0.4">
      <c r="B18" s="5"/>
      <c r="C18" s="14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5"/>
      <c r="AA18" s="5"/>
    </row>
    <row r="19" spans="2:27" ht="18" customHeight="1" x14ac:dyDescent="0.4">
      <c r="B19" s="5"/>
      <c r="C19" s="1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5"/>
      <c r="AA19" s="5"/>
    </row>
    <row r="20" spans="2:27" ht="18" customHeight="1" x14ac:dyDescent="0.4">
      <c r="B20" s="5"/>
      <c r="C20" s="14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5"/>
      <c r="AA20" s="5"/>
    </row>
    <row r="21" spans="2:27" ht="18" customHeight="1" x14ac:dyDescent="0.4">
      <c r="B21" s="5"/>
      <c r="C21" s="14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5"/>
      <c r="AA21" s="5"/>
    </row>
    <row r="22" spans="2:27" ht="18" customHeight="1" x14ac:dyDescent="0.4">
      <c r="B22" s="5"/>
      <c r="C22" s="14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5"/>
      <c r="AA22" s="5"/>
    </row>
    <row r="23" spans="2:27" ht="18" customHeight="1" x14ac:dyDescent="0.4">
      <c r="B23" s="5"/>
      <c r="C23" s="14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5"/>
      <c r="AA23" s="5"/>
    </row>
    <row r="24" spans="2:27" ht="18" customHeight="1" x14ac:dyDescent="0.4">
      <c r="B24" s="5"/>
      <c r="C24" s="14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5"/>
      <c r="AA24" s="5"/>
    </row>
    <row r="25" spans="2:27" ht="18" customHeight="1" x14ac:dyDescent="0.4">
      <c r="B25" s="5"/>
      <c r="C25" s="14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5"/>
      <c r="AA25" s="5"/>
    </row>
    <row r="26" spans="2:27" ht="18" customHeight="1" x14ac:dyDescent="0.4">
      <c r="B26" s="5"/>
      <c r="C26" s="14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5"/>
      <c r="AA26" s="5"/>
    </row>
    <row r="27" spans="2:27" ht="18" customHeight="1" x14ac:dyDescent="0.4">
      <c r="B27" s="5"/>
      <c r="C27" s="14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5"/>
      <c r="AA27" s="5"/>
    </row>
    <row r="28" spans="2:27" ht="18" customHeight="1" x14ac:dyDescent="0.4">
      <c r="B28" s="5"/>
      <c r="C28" s="14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5"/>
      <c r="AA28" s="5"/>
    </row>
    <row r="29" spans="2:27" ht="18" customHeight="1" x14ac:dyDescent="0.4">
      <c r="B29" s="5"/>
      <c r="C29" s="14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5"/>
      <c r="AA29" s="5"/>
    </row>
    <row r="30" spans="2:27" ht="18" customHeight="1" x14ac:dyDescent="0.4">
      <c r="B30" s="5"/>
      <c r="C30" s="14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5"/>
      <c r="AA30" s="5"/>
    </row>
    <row r="31" spans="2:27" ht="18" customHeight="1" x14ac:dyDescent="0.4">
      <c r="B31" s="5"/>
      <c r="C31" s="14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5"/>
      <c r="AA31" s="5"/>
    </row>
    <row r="32" spans="2:27" ht="18" customHeight="1" x14ac:dyDescent="0.4">
      <c r="B32" s="5"/>
      <c r="C32" s="14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5"/>
      <c r="AA32" s="5"/>
    </row>
    <row r="33" spans="2:27" ht="18" customHeight="1" x14ac:dyDescent="0.4">
      <c r="B33" s="5"/>
      <c r="C33" s="14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5"/>
      <c r="AA33" s="5"/>
    </row>
    <row r="34" spans="2:27" ht="18" customHeight="1" x14ac:dyDescent="0.4">
      <c r="B34" s="5"/>
      <c r="C34" s="14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5"/>
      <c r="AA34" s="5"/>
    </row>
    <row r="35" spans="2:27" ht="18" customHeight="1" x14ac:dyDescent="0.4">
      <c r="B35" s="5"/>
      <c r="C35" s="14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5"/>
      <c r="AA35" s="5"/>
    </row>
    <row r="36" spans="2:27" ht="18" customHeight="1" x14ac:dyDescent="0.4">
      <c r="B36" s="5"/>
      <c r="C36" s="14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5"/>
      <c r="AA36" s="5"/>
    </row>
    <row r="37" spans="2:27" ht="18" customHeight="1" x14ac:dyDescent="0.4">
      <c r="B37" s="5"/>
      <c r="C37" s="14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5"/>
      <c r="AA37" s="5"/>
    </row>
    <row r="38" spans="2:27" ht="18" customHeight="1" x14ac:dyDescent="0.4">
      <c r="B38" s="5"/>
      <c r="C38" s="14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5"/>
      <c r="AA38" s="5"/>
    </row>
    <row r="39" spans="2:27" ht="18" customHeight="1" x14ac:dyDescent="0.4">
      <c r="B39" s="5"/>
      <c r="C39" s="14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5"/>
      <c r="AA39" s="5"/>
    </row>
    <row r="40" spans="2:27" ht="18" customHeight="1" x14ac:dyDescent="0.4">
      <c r="B40" s="5"/>
      <c r="C40" s="14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5"/>
      <c r="AA40" s="5"/>
    </row>
    <row r="41" spans="2:27" ht="18" customHeight="1" x14ac:dyDescent="0.4">
      <c r="B41" s="5"/>
      <c r="C41" s="14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5"/>
      <c r="AA41" s="5"/>
    </row>
    <row r="42" spans="2:27" ht="18" customHeight="1" x14ac:dyDescent="0.4">
      <c r="B42" s="5"/>
      <c r="C42" s="14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5"/>
      <c r="AA42" s="5"/>
    </row>
    <row r="43" spans="2:27" ht="18" customHeight="1" x14ac:dyDescent="0.4">
      <c r="B43" s="5"/>
      <c r="C43" s="14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5"/>
      <c r="AA43" s="5"/>
    </row>
    <row r="44" spans="2:27" ht="18" customHeight="1" x14ac:dyDescent="0.4">
      <c r="B44" s="5"/>
      <c r="C44" s="14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5"/>
      <c r="AA44" s="5"/>
    </row>
    <row r="45" spans="2:27" ht="18" customHeight="1" x14ac:dyDescent="0.4">
      <c r="B45" s="5"/>
      <c r="C45" s="14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5"/>
      <c r="AA45" s="5"/>
    </row>
    <row r="46" spans="2:27" ht="18" customHeight="1" x14ac:dyDescent="0.4">
      <c r="B46" s="5"/>
      <c r="C46" s="14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5"/>
      <c r="AA46" s="5"/>
    </row>
    <row r="47" spans="2:27" ht="18" customHeight="1" x14ac:dyDescent="0.4">
      <c r="B47" s="5"/>
      <c r="C47" s="14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5"/>
      <c r="AA47" s="5"/>
    </row>
    <row r="48" spans="2:27" ht="18" customHeight="1" x14ac:dyDescent="0.4">
      <c r="B48" s="5"/>
      <c r="C48" s="14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5"/>
      <c r="AA48" s="5"/>
    </row>
    <row r="49" spans="2:27" ht="18" customHeight="1" x14ac:dyDescent="0.4">
      <c r="B49" s="5"/>
      <c r="C49" s="14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5"/>
      <c r="AA49" s="5"/>
    </row>
    <row r="50" spans="2:27" ht="18" customHeight="1" x14ac:dyDescent="0.4">
      <c r="B50" s="5"/>
      <c r="C50" s="14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5"/>
      <c r="AA50" s="5"/>
    </row>
  </sheetData>
  <sheetProtection selectLockedCells="1"/>
  <mergeCells count="3">
    <mergeCell ref="G4:U5"/>
    <mergeCell ref="G6:U7"/>
    <mergeCell ref="C9:Z9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FF0000"/>
  </sheetPr>
  <dimension ref="B1:Q56"/>
  <sheetViews>
    <sheetView showRowColHeaders="0" zoomScaleNormal="100" workbookViewId="0">
      <selection activeCell="U19" sqref="U19"/>
    </sheetView>
  </sheetViews>
  <sheetFormatPr defaultColWidth="9" defaultRowHeight="18" customHeight="1" x14ac:dyDescent="0.4"/>
  <cols>
    <col min="1" max="16384" width="9" style="4"/>
  </cols>
  <sheetData>
    <row r="1" spans="2:17" ht="15" customHeight="1" x14ac:dyDescent="0.4"/>
    <row r="2" spans="2:17" ht="15" customHeight="1" x14ac:dyDescent="0.4"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</row>
    <row r="3" spans="2:17" ht="15" customHeight="1" x14ac:dyDescent="0.4">
      <c r="B3" s="59"/>
      <c r="Q3" s="59"/>
    </row>
    <row r="4" spans="2:17" ht="15" customHeight="1" x14ac:dyDescent="0.4">
      <c r="B4" s="59"/>
      <c r="F4" s="199" t="s">
        <v>53</v>
      </c>
      <c r="G4" s="199"/>
      <c r="H4" s="199"/>
      <c r="I4" s="199"/>
      <c r="J4" s="199"/>
      <c r="K4" s="199"/>
      <c r="L4" s="199"/>
      <c r="M4" s="38"/>
      <c r="N4" s="38"/>
      <c r="O4" s="38"/>
      <c r="Q4" s="59"/>
    </row>
    <row r="5" spans="2:17" ht="15" customHeight="1" x14ac:dyDescent="0.4">
      <c r="B5" s="59"/>
      <c r="F5" s="199"/>
      <c r="G5" s="199"/>
      <c r="H5" s="199"/>
      <c r="I5" s="199"/>
      <c r="J5" s="199"/>
      <c r="K5" s="199"/>
      <c r="L5" s="199"/>
      <c r="M5" s="38"/>
      <c r="N5" s="38"/>
      <c r="O5" s="38"/>
      <c r="Q5" s="59"/>
    </row>
    <row r="6" spans="2:17" ht="15" customHeight="1" x14ac:dyDescent="0.4">
      <c r="B6" s="59"/>
      <c r="F6" s="200" t="s">
        <v>190</v>
      </c>
      <c r="G6" s="200"/>
      <c r="H6" s="200"/>
      <c r="I6" s="200"/>
      <c r="J6" s="200"/>
      <c r="K6" s="200"/>
      <c r="L6" s="200"/>
      <c r="M6" s="39"/>
      <c r="N6" s="39"/>
      <c r="O6" s="39"/>
      <c r="Q6" s="59"/>
    </row>
    <row r="7" spans="2:17" ht="15" customHeight="1" x14ac:dyDescent="0.4">
      <c r="B7" s="59"/>
      <c r="E7" s="39"/>
      <c r="F7" s="200"/>
      <c r="G7" s="200"/>
      <c r="H7" s="200"/>
      <c r="I7" s="200"/>
      <c r="J7" s="200"/>
      <c r="K7" s="200"/>
      <c r="L7" s="200"/>
      <c r="M7" s="39"/>
      <c r="N7" s="39"/>
      <c r="O7" s="39"/>
      <c r="Q7" s="59"/>
    </row>
    <row r="8" spans="2:17" ht="15" customHeight="1" x14ac:dyDescent="0.4">
      <c r="B8" s="59"/>
      <c r="Q8" s="59"/>
    </row>
    <row r="9" spans="2:17" ht="18" customHeight="1" x14ac:dyDescent="0.4"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</row>
    <row r="10" spans="2:17" ht="18" customHeight="1" x14ac:dyDescent="0.4">
      <c r="B10" s="37"/>
      <c r="C10" s="223" t="s">
        <v>204</v>
      </c>
      <c r="D10" s="224"/>
      <c r="E10" s="224"/>
      <c r="F10" s="224"/>
      <c r="G10" s="224"/>
      <c r="H10" s="224"/>
      <c r="I10" s="224"/>
      <c r="J10" s="223" t="s">
        <v>318</v>
      </c>
      <c r="K10" s="224"/>
      <c r="L10" s="224"/>
      <c r="M10" s="224"/>
      <c r="N10" s="224"/>
      <c r="O10" s="224"/>
      <c r="P10" s="224"/>
      <c r="Q10" s="15"/>
    </row>
    <row r="11" spans="2:17" ht="18" customHeight="1" x14ac:dyDescent="0.4">
      <c r="B11" s="59"/>
      <c r="C11" s="225" t="s">
        <v>14</v>
      </c>
      <c r="D11" s="226"/>
      <c r="E11" s="226"/>
      <c r="F11" s="233" t="s">
        <v>36</v>
      </c>
      <c r="G11" s="233"/>
      <c r="H11" s="214" t="s">
        <v>20</v>
      </c>
      <c r="I11" s="216"/>
      <c r="J11" s="225" t="s">
        <v>14</v>
      </c>
      <c r="K11" s="226"/>
      <c r="L11" s="226"/>
      <c r="M11" s="233" t="s">
        <v>36</v>
      </c>
      <c r="N11" s="233"/>
      <c r="O11" s="214" t="s">
        <v>20</v>
      </c>
      <c r="P11" s="216"/>
      <c r="Q11" s="15"/>
    </row>
    <row r="12" spans="2:17" ht="18" customHeight="1" x14ac:dyDescent="0.4">
      <c r="B12" s="5"/>
      <c r="C12" s="217" t="s">
        <v>199</v>
      </c>
      <c r="D12" s="217"/>
      <c r="E12" s="217"/>
      <c r="F12" s="236" t="s">
        <v>228</v>
      </c>
      <c r="G12" s="232"/>
      <c r="H12" s="222" t="s">
        <v>35</v>
      </c>
      <c r="I12" s="219"/>
      <c r="J12" s="229" t="s">
        <v>191</v>
      </c>
      <c r="K12" s="229"/>
      <c r="L12" s="229"/>
      <c r="M12" s="230">
        <f>ROUND(SUM(F23,M23,F35,F40,F45,M45,M40,M35,M28,F28,F52,M52),2)</f>
        <v>1.68</v>
      </c>
      <c r="N12" s="230"/>
      <c r="O12" s="228" t="s">
        <v>172</v>
      </c>
      <c r="P12" s="228"/>
      <c r="Q12" s="15"/>
    </row>
    <row r="13" spans="2:17" ht="18" customHeight="1" x14ac:dyDescent="0.4">
      <c r="B13" s="5"/>
      <c r="C13" s="217" t="s">
        <v>285</v>
      </c>
      <c r="D13" s="217"/>
      <c r="E13" s="217"/>
      <c r="F13" s="232" t="s">
        <v>262</v>
      </c>
      <c r="G13" s="232"/>
      <c r="H13" s="222" t="s">
        <v>35</v>
      </c>
      <c r="I13" s="219"/>
      <c r="J13" s="229"/>
      <c r="K13" s="229"/>
      <c r="L13" s="229"/>
      <c r="M13" s="230"/>
      <c r="N13" s="230"/>
      <c r="O13" s="228"/>
      <c r="P13" s="228"/>
      <c r="Q13" s="15"/>
    </row>
    <row r="14" spans="2:17" ht="18" customHeight="1" x14ac:dyDescent="0.4">
      <c r="B14" s="5"/>
      <c r="C14" s="217" t="s">
        <v>215</v>
      </c>
      <c r="D14" s="217"/>
      <c r="E14" s="217"/>
      <c r="F14" s="234"/>
      <c r="G14" s="235"/>
      <c r="H14" s="222" t="s">
        <v>216</v>
      </c>
      <c r="I14" s="219"/>
      <c r="J14" s="229" t="s">
        <v>192</v>
      </c>
      <c r="K14" s="229"/>
      <c r="L14" s="229"/>
      <c r="M14" s="230">
        <f>ROUND(SUM(F24,M24,F36,F41,F46,M46,M41,M36,M29,F29,F53,M53),2)</f>
        <v>11.97</v>
      </c>
      <c r="N14" s="230"/>
      <c r="O14" s="228" t="s">
        <v>41</v>
      </c>
      <c r="P14" s="228"/>
      <c r="Q14" s="15"/>
    </row>
    <row r="15" spans="2:17" ht="18" customHeight="1" x14ac:dyDescent="0.4">
      <c r="B15" s="5"/>
      <c r="C15" s="217"/>
      <c r="D15" s="217"/>
      <c r="E15" s="217"/>
      <c r="F15" s="221"/>
      <c r="G15" s="221"/>
      <c r="H15" s="222"/>
      <c r="I15" s="219"/>
      <c r="J15" s="229"/>
      <c r="K15" s="229"/>
      <c r="L15" s="229"/>
      <c r="M15" s="230"/>
      <c r="N15" s="230"/>
      <c r="O15" s="228"/>
      <c r="P15" s="228"/>
      <c r="Q15" s="15"/>
    </row>
    <row r="16" spans="2:17" ht="18" customHeight="1" x14ac:dyDescent="0.4">
      <c r="B16" s="5"/>
      <c r="C16" s="217" t="s">
        <v>201</v>
      </c>
      <c r="D16" s="217"/>
      <c r="E16" s="217"/>
      <c r="F16" s="232" t="s">
        <v>231</v>
      </c>
      <c r="G16" s="232"/>
      <c r="H16" s="222" t="s">
        <v>35</v>
      </c>
      <c r="I16" s="219"/>
      <c r="J16" s="217" t="s">
        <v>283</v>
      </c>
      <c r="K16" s="217"/>
      <c r="L16" s="217"/>
      <c r="M16" s="231">
        <f>MIN(Actuators!L14,Actuators!L20,Actuators!L17,Actuators!L23,Sensors!L14,Sensors!L17,Sensors!L20,Sensors!L23,Sensors!L26,Sensors!L29,Sensors!L32,Sensors!L35)</f>
        <v>0</v>
      </c>
      <c r="N16" s="231"/>
      <c r="O16" s="218" t="s">
        <v>184</v>
      </c>
      <c r="P16" s="219"/>
      <c r="Q16" s="15"/>
    </row>
    <row r="17" spans="2:17" ht="18" customHeight="1" x14ac:dyDescent="0.4">
      <c r="B17" s="5"/>
      <c r="C17" s="217" t="s">
        <v>200</v>
      </c>
      <c r="D17" s="217"/>
      <c r="E17" s="217"/>
      <c r="F17" s="221">
        <f>pointing_precision</f>
        <v>0.05</v>
      </c>
      <c r="G17" s="221"/>
      <c r="H17" s="222" t="s">
        <v>124</v>
      </c>
      <c r="I17" s="219"/>
      <c r="J17" s="217" t="s">
        <v>284</v>
      </c>
      <c r="K17" s="217"/>
      <c r="L17" s="217"/>
      <c r="M17" s="231">
        <f>MAX(Actuators!M14,Actuators!M20,Actuators!M17,Actuators!M23,Sensors!M14,Sensors!M17,Sensors!M20,Sensors!M23,Sensors!M26,Sensors!M29,Sensors!M32,Sensors!M35)</f>
        <v>0</v>
      </c>
      <c r="N17" s="231"/>
      <c r="O17" s="218" t="s">
        <v>184</v>
      </c>
      <c r="P17" s="219"/>
      <c r="Q17" s="15"/>
    </row>
    <row r="18" spans="2:17" ht="18" customHeight="1" x14ac:dyDescent="0.4">
      <c r="B18" s="59"/>
      <c r="C18" s="62"/>
      <c r="D18" s="62"/>
      <c r="E18" s="62"/>
      <c r="F18" s="62"/>
      <c r="G18" s="62"/>
      <c r="H18" s="62"/>
      <c r="I18" s="63"/>
      <c r="J18" s="62"/>
      <c r="K18" s="62"/>
      <c r="L18" s="62"/>
      <c r="M18" s="62"/>
      <c r="N18" s="62"/>
      <c r="O18" s="62"/>
      <c r="P18" s="62"/>
      <c r="Q18" s="15"/>
    </row>
    <row r="19" spans="2:17" ht="18" customHeight="1" x14ac:dyDescent="0.4">
      <c r="B19" s="5"/>
      <c r="C19" s="223" t="s">
        <v>193</v>
      </c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15"/>
    </row>
    <row r="20" spans="2:17" ht="18" customHeight="1" x14ac:dyDescent="0.4">
      <c r="B20" s="5"/>
      <c r="C20" s="214" t="s">
        <v>194</v>
      </c>
      <c r="D20" s="215"/>
      <c r="E20" s="215"/>
      <c r="F20" s="215"/>
      <c r="G20" s="215"/>
      <c r="H20" s="215"/>
      <c r="I20" s="216"/>
      <c r="J20" s="214" t="s">
        <v>197</v>
      </c>
      <c r="K20" s="215"/>
      <c r="L20" s="215"/>
      <c r="M20" s="215"/>
      <c r="N20" s="215"/>
      <c r="O20" s="215"/>
      <c r="P20" s="216"/>
      <c r="Q20" s="15"/>
    </row>
    <row r="21" spans="2:17" ht="18" customHeight="1" x14ac:dyDescent="0.4">
      <c r="B21" s="5"/>
      <c r="C21" s="217" t="s">
        <v>202</v>
      </c>
      <c r="D21" s="217"/>
      <c r="E21" s="217"/>
      <c r="F21" s="221" t="str">
        <f>Actuators!E12</f>
        <v>RWP050 (from: Blue Canyon Technologies)</v>
      </c>
      <c r="G21" s="221"/>
      <c r="H21" s="221"/>
      <c r="I21" s="221"/>
      <c r="J21" s="217" t="s">
        <v>202</v>
      </c>
      <c r="K21" s="217"/>
      <c r="L21" s="217"/>
      <c r="M21" s="221" t="str">
        <f>Actuators!E18</f>
        <v>MagneTorQuer board (iMTQ) (from: ISIS)</v>
      </c>
      <c r="N21" s="221"/>
      <c r="O21" s="221"/>
      <c r="P21" s="221"/>
      <c r="Q21" s="15"/>
    </row>
    <row r="22" spans="2:17" ht="18" customHeight="1" x14ac:dyDescent="0.4">
      <c r="B22" s="5"/>
      <c r="C22" s="220" t="s">
        <v>292</v>
      </c>
      <c r="D22" s="217"/>
      <c r="E22" s="217"/>
      <c r="F22" s="221">
        <f>Actuators!I14</f>
        <v>4</v>
      </c>
      <c r="G22" s="221"/>
      <c r="H22" s="218" t="s">
        <v>35</v>
      </c>
      <c r="I22" s="219"/>
      <c r="J22" s="220" t="s">
        <v>292</v>
      </c>
      <c r="K22" s="217"/>
      <c r="L22" s="217"/>
      <c r="M22" s="221">
        <f>Actuators!I20</f>
        <v>3</v>
      </c>
      <c r="N22" s="221"/>
      <c r="O22" s="218" t="s">
        <v>35</v>
      </c>
      <c r="P22" s="219"/>
      <c r="Q22" s="15"/>
    </row>
    <row r="23" spans="2:17" ht="18" customHeight="1" x14ac:dyDescent="0.4">
      <c r="B23" s="5"/>
      <c r="C23" s="217" t="s">
        <v>191</v>
      </c>
      <c r="D23" s="217"/>
      <c r="E23" s="217"/>
      <c r="F23" s="221">
        <f>Actuators!J14</f>
        <v>0.96</v>
      </c>
      <c r="G23" s="221"/>
      <c r="H23" s="222" t="s">
        <v>172</v>
      </c>
      <c r="I23" s="219"/>
      <c r="J23" s="217" t="s">
        <v>191</v>
      </c>
      <c r="K23" s="217"/>
      <c r="L23" s="217"/>
      <c r="M23" s="221">
        <f>Actuators!J20</f>
        <v>0.58800000000000008</v>
      </c>
      <c r="N23" s="221"/>
      <c r="O23" s="218" t="s">
        <v>172</v>
      </c>
      <c r="P23" s="219"/>
      <c r="Q23" s="15"/>
    </row>
    <row r="24" spans="2:17" ht="18" customHeight="1" x14ac:dyDescent="0.4">
      <c r="B24" s="5"/>
      <c r="C24" s="217" t="s">
        <v>192</v>
      </c>
      <c r="D24" s="217"/>
      <c r="E24" s="217"/>
      <c r="F24" s="227">
        <f>Actuators!K14</f>
        <v>4</v>
      </c>
      <c r="G24" s="221"/>
      <c r="H24" s="222" t="s">
        <v>41</v>
      </c>
      <c r="I24" s="219"/>
      <c r="J24" s="217" t="s">
        <v>192</v>
      </c>
      <c r="K24" s="217"/>
      <c r="L24" s="217"/>
      <c r="M24" s="221">
        <f>Actuators!K20</f>
        <v>3.5999999999999996</v>
      </c>
      <c r="N24" s="221"/>
      <c r="O24" s="218" t="s">
        <v>41</v>
      </c>
      <c r="P24" s="219"/>
      <c r="Q24" s="15"/>
    </row>
    <row r="25" spans="2:17" ht="18" customHeight="1" x14ac:dyDescent="0.4">
      <c r="B25" s="5"/>
      <c r="C25" s="214" t="s">
        <v>196</v>
      </c>
      <c r="D25" s="215"/>
      <c r="E25" s="215"/>
      <c r="F25" s="215"/>
      <c r="G25" s="215"/>
      <c r="H25" s="215"/>
      <c r="I25" s="216"/>
      <c r="J25" s="214" t="s">
        <v>198</v>
      </c>
      <c r="K25" s="215"/>
      <c r="L25" s="215"/>
      <c r="M25" s="215"/>
      <c r="N25" s="215"/>
      <c r="O25" s="215"/>
      <c r="P25" s="216"/>
      <c r="Q25" s="15"/>
    </row>
    <row r="26" spans="2:17" ht="18" customHeight="1" x14ac:dyDescent="0.4">
      <c r="B26" s="5"/>
      <c r="C26" s="217" t="s">
        <v>202</v>
      </c>
      <c r="D26" s="217"/>
      <c r="E26" s="217"/>
      <c r="F26" s="221" t="str">
        <f>Actuators!E15</f>
        <v>-</v>
      </c>
      <c r="G26" s="221"/>
      <c r="H26" s="221"/>
      <c r="I26" s="221"/>
      <c r="J26" s="217" t="s">
        <v>202</v>
      </c>
      <c r="K26" s="217"/>
      <c r="L26" s="217"/>
      <c r="M26" s="221" t="s">
        <v>46</v>
      </c>
      <c r="N26" s="221"/>
      <c r="O26" s="221"/>
      <c r="P26" s="221"/>
      <c r="Q26" s="15"/>
    </row>
    <row r="27" spans="2:17" ht="18" customHeight="1" x14ac:dyDescent="0.4">
      <c r="B27" s="5"/>
      <c r="C27" s="220" t="s">
        <v>292</v>
      </c>
      <c r="D27" s="217"/>
      <c r="E27" s="217"/>
      <c r="F27" s="221" t="str">
        <f>Actuators!I17</f>
        <v>-</v>
      </c>
      <c r="G27" s="221"/>
      <c r="H27" s="218" t="s">
        <v>35</v>
      </c>
      <c r="I27" s="219"/>
      <c r="J27" s="220" t="s">
        <v>292</v>
      </c>
      <c r="K27" s="217"/>
      <c r="L27" s="217"/>
      <c r="M27" s="221"/>
      <c r="N27" s="221"/>
      <c r="O27" s="218" t="s">
        <v>35</v>
      </c>
      <c r="P27" s="219"/>
      <c r="Q27" s="15"/>
    </row>
    <row r="28" spans="2:17" ht="18" customHeight="1" x14ac:dyDescent="0.4">
      <c r="B28" s="5"/>
      <c r="C28" s="217" t="s">
        <v>191</v>
      </c>
      <c r="D28" s="217"/>
      <c r="E28" s="217"/>
      <c r="F28" s="221" t="str">
        <f>Actuators!J17</f>
        <v>-</v>
      </c>
      <c r="G28" s="221"/>
      <c r="H28" s="222" t="s">
        <v>172</v>
      </c>
      <c r="I28" s="219"/>
      <c r="J28" s="217" t="s">
        <v>191</v>
      </c>
      <c r="K28" s="217"/>
      <c r="L28" s="217"/>
      <c r="M28" s="221" t="s">
        <v>46</v>
      </c>
      <c r="N28" s="221"/>
      <c r="O28" s="222" t="s">
        <v>172</v>
      </c>
      <c r="P28" s="219"/>
      <c r="Q28" s="15"/>
    </row>
    <row r="29" spans="2:17" ht="18" customHeight="1" x14ac:dyDescent="0.4">
      <c r="B29" s="5"/>
      <c r="C29" s="217" t="s">
        <v>192</v>
      </c>
      <c r="D29" s="217"/>
      <c r="E29" s="217"/>
      <c r="F29" s="221" t="str">
        <f>Actuators!K17</f>
        <v>-</v>
      </c>
      <c r="G29" s="221"/>
      <c r="H29" s="222" t="s">
        <v>41</v>
      </c>
      <c r="I29" s="219"/>
      <c r="J29" s="217" t="s">
        <v>192</v>
      </c>
      <c r="K29" s="217"/>
      <c r="L29" s="217"/>
      <c r="M29" s="221" t="s">
        <v>46</v>
      </c>
      <c r="N29" s="221"/>
      <c r="O29" s="222" t="s">
        <v>41</v>
      </c>
      <c r="P29" s="219"/>
      <c r="Q29" s="15"/>
    </row>
    <row r="30" spans="2:17" ht="18" customHeight="1" x14ac:dyDescent="0.4"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2:17" ht="18" customHeight="1" x14ac:dyDescent="0.4">
      <c r="B31" s="5"/>
      <c r="C31" s="223" t="s">
        <v>195</v>
      </c>
      <c r="D31" s="224"/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224"/>
      <c r="Q31" s="15"/>
    </row>
    <row r="32" spans="2:17" ht="18" customHeight="1" x14ac:dyDescent="0.4">
      <c r="B32" s="5"/>
      <c r="C32" s="214" t="s">
        <v>364</v>
      </c>
      <c r="D32" s="215"/>
      <c r="E32" s="215"/>
      <c r="F32" s="215"/>
      <c r="G32" s="215"/>
      <c r="H32" s="215"/>
      <c r="I32" s="216"/>
      <c r="J32" s="214" t="s">
        <v>207</v>
      </c>
      <c r="K32" s="215"/>
      <c r="L32" s="215"/>
      <c r="M32" s="215"/>
      <c r="N32" s="215"/>
      <c r="O32" s="215"/>
      <c r="P32" s="216"/>
      <c r="Q32" s="15"/>
    </row>
    <row r="33" spans="2:17" ht="18" customHeight="1" x14ac:dyDescent="0.4">
      <c r="B33" s="5"/>
      <c r="C33" s="217" t="s">
        <v>202</v>
      </c>
      <c r="D33" s="217"/>
      <c r="E33" s="217"/>
      <c r="F33" s="221" t="str">
        <f>Sensors!E24</f>
        <v>-</v>
      </c>
      <c r="G33" s="221"/>
      <c r="H33" s="221"/>
      <c r="I33" s="221"/>
      <c r="J33" s="217" t="s">
        <v>202</v>
      </c>
      <c r="K33" s="217"/>
      <c r="L33" s="217"/>
      <c r="M33" s="221" t="str">
        <f>Sensors!E12</f>
        <v>-</v>
      </c>
      <c r="N33" s="221"/>
      <c r="O33" s="221"/>
      <c r="P33" s="221"/>
      <c r="Q33" s="15"/>
    </row>
    <row r="34" spans="2:17" ht="18" customHeight="1" x14ac:dyDescent="0.4">
      <c r="B34" s="5"/>
      <c r="C34" s="220" t="s">
        <v>292</v>
      </c>
      <c r="D34" s="217"/>
      <c r="E34" s="217"/>
      <c r="F34" s="221" t="str">
        <f>Sensors!I26</f>
        <v>-</v>
      </c>
      <c r="G34" s="221"/>
      <c r="H34" s="218" t="s">
        <v>35</v>
      </c>
      <c r="I34" s="219"/>
      <c r="J34" s="220" t="s">
        <v>292</v>
      </c>
      <c r="K34" s="217"/>
      <c r="L34" s="217"/>
      <c r="M34" s="221" t="str">
        <f>Sensors!I14</f>
        <v>-</v>
      </c>
      <c r="N34" s="221"/>
      <c r="O34" s="218" t="s">
        <v>35</v>
      </c>
      <c r="P34" s="219"/>
      <c r="Q34" s="15"/>
    </row>
    <row r="35" spans="2:17" ht="18" customHeight="1" x14ac:dyDescent="0.4">
      <c r="B35" s="5"/>
      <c r="C35" s="217" t="s">
        <v>191</v>
      </c>
      <c r="D35" s="217"/>
      <c r="E35" s="217"/>
      <c r="F35" s="221" t="str">
        <f>Sensors!J26</f>
        <v>-</v>
      </c>
      <c r="G35" s="221"/>
      <c r="H35" s="222" t="s">
        <v>172</v>
      </c>
      <c r="I35" s="219"/>
      <c r="J35" s="217" t="s">
        <v>191</v>
      </c>
      <c r="K35" s="217"/>
      <c r="L35" s="217"/>
      <c r="M35" s="221" t="str">
        <f>Sensors!J14</f>
        <v>-</v>
      </c>
      <c r="N35" s="221"/>
      <c r="O35" s="222" t="s">
        <v>172</v>
      </c>
      <c r="P35" s="219"/>
      <c r="Q35" s="15"/>
    </row>
    <row r="36" spans="2:17" ht="18" customHeight="1" x14ac:dyDescent="0.4">
      <c r="B36" s="5"/>
      <c r="C36" s="217" t="s">
        <v>192</v>
      </c>
      <c r="D36" s="217"/>
      <c r="E36" s="217"/>
      <c r="F36" s="221" t="str">
        <f>Sensors!K26</f>
        <v>-</v>
      </c>
      <c r="G36" s="221"/>
      <c r="H36" s="222" t="s">
        <v>41</v>
      </c>
      <c r="I36" s="219"/>
      <c r="J36" s="217" t="s">
        <v>192</v>
      </c>
      <c r="K36" s="217"/>
      <c r="L36" s="217"/>
      <c r="M36" s="221" t="str">
        <f>Sensors!K14</f>
        <v>-</v>
      </c>
      <c r="N36" s="221"/>
      <c r="O36" s="222" t="s">
        <v>41</v>
      </c>
      <c r="P36" s="219"/>
      <c r="Q36" s="15"/>
    </row>
    <row r="37" spans="2:17" ht="18" customHeight="1" x14ac:dyDescent="0.4">
      <c r="B37" s="5"/>
      <c r="C37" s="214" t="s">
        <v>203</v>
      </c>
      <c r="D37" s="215"/>
      <c r="E37" s="215"/>
      <c r="F37" s="215"/>
      <c r="G37" s="215"/>
      <c r="H37" s="215"/>
      <c r="I37" s="216"/>
      <c r="J37" s="214" t="s">
        <v>206</v>
      </c>
      <c r="K37" s="215"/>
      <c r="L37" s="215"/>
      <c r="M37" s="215"/>
      <c r="N37" s="215"/>
      <c r="O37" s="215"/>
      <c r="P37" s="216"/>
      <c r="Q37" s="15"/>
    </row>
    <row r="38" spans="2:17" ht="18" customHeight="1" x14ac:dyDescent="0.4">
      <c r="B38" s="5"/>
      <c r="C38" s="217" t="s">
        <v>202</v>
      </c>
      <c r="D38" s="217"/>
      <c r="E38" s="217"/>
      <c r="F38" s="221" t="str">
        <f>Sensors!E21</f>
        <v>-</v>
      </c>
      <c r="G38" s="221"/>
      <c r="H38" s="221"/>
      <c r="I38" s="221"/>
      <c r="J38" s="217" t="s">
        <v>202</v>
      </c>
      <c r="K38" s="217"/>
      <c r="L38" s="217"/>
      <c r="M38" s="221" t="str">
        <f>Sensors!E18</f>
        <v>-</v>
      </c>
      <c r="N38" s="221"/>
      <c r="O38" s="221"/>
      <c r="P38" s="221"/>
      <c r="Q38" s="15"/>
    </row>
    <row r="39" spans="2:17" ht="18" customHeight="1" x14ac:dyDescent="0.4">
      <c r="B39" s="5"/>
      <c r="C39" s="220" t="s">
        <v>292</v>
      </c>
      <c r="D39" s="217"/>
      <c r="E39" s="217"/>
      <c r="F39" s="221" t="str">
        <f>Sensors!I23</f>
        <v>-</v>
      </c>
      <c r="G39" s="221"/>
      <c r="H39" s="218" t="s">
        <v>35</v>
      </c>
      <c r="I39" s="219"/>
      <c r="J39" s="220" t="s">
        <v>292</v>
      </c>
      <c r="K39" s="217"/>
      <c r="L39" s="217"/>
      <c r="M39" s="221" t="str">
        <f>Sensors!I20</f>
        <v>-</v>
      </c>
      <c r="N39" s="221"/>
      <c r="O39" s="218" t="s">
        <v>35</v>
      </c>
      <c r="P39" s="219"/>
      <c r="Q39" s="15"/>
    </row>
    <row r="40" spans="2:17" ht="18" customHeight="1" x14ac:dyDescent="0.4">
      <c r="B40" s="5"/>
      <c r="C40" s="217" t="s">
        <v>191</v>
      </c>
      <c r="D40" s="217"/>
      <c r="E40" s="217"/>
      <c r="F40" s="221" t="str">
        <f>Sensors!J23</f>
        <v>-</v>
      </c>
      <c r="G40" s="221"/>
      <c r="H40" s="222" t="s">
        <v>172</v>
      </c>
      <c r="I40" s="219"/>
      <c r="J40" s="217" t="s">
        <v>191</v>
      </c>
      <c r="K40" s="217"/>
      <c r="L40" s="217"/>
      <c r="M40" s="221" t="str">
        <f>Sensors!J20</f>
        <v>-</v>
      </c>
      <c r="N40" s="221"/>
      <c r="O40" s="222" t="s">
        <v>172</v>
      </c>
      <c r="P40" s="219"/>
      <c r="Q40" s="15"/>
    </row>
    <row r="41" spans="2:17" ht="18" customHeight="1" x14ac:dyDescent="0.4">
      <c r="B41" s="5"/>
      <c r="C41" s="217" t="s">
        <v>192</v>
      </c>
      <c r="D41" s="217"/>
      <c r="E41" s="217"/>
      <c r="F41" s="221" t="str">
        <f>Sensors!K23</f>
        <v>-</v>
      </c>
      <c r="G41" s="221"/>
      <c r="H41" s="222" t="s">
        <v>41</v>
      </c>
      <c r="I41" s="219"/>
      <c r="J41" s="217" t="s">
        <v>192</v>
      </c>
      <c r="K41" s="217"/>
      <c r="L41" s="217"/>
      <c r="M41" s="221" t="str">
        <f>Sensors!K20</f>
        <v>-</v>
      </c>
      <c r="N41" s="221"/>
      <c r="O41" s="222" t="s">
        <v>41</v>
      </c>
      <c r="P41" s="219"/>
      <c r="Q41" s="15"/>
    </row>
    <row r="42" spans="2:17" ht="18" customHeight="1" x14ac:dyDescent="0.4">
      <c r="B42" s="5"/>
      <c r="C42" s="214" t="s">
        <v>205</v>
      </c>
      <c r="D42" s="215"/>
      <c r="E42" s="215"/>
      <c r="F42" s="215"/>
      <c r="G42" s="215"/>
      <c r="H42" s="215"/>
      <c r="I42" s="216"/>
      <c r="J42" s="214" t="s">
        <v>208</v>
      </c>
      <c r="K42" s="215"/>
      <c r="L42" s="215"/>
      <c r="M42" s="215"/>
      <c r="N42" s="215"/>
      <c r="O42" s="215"/>
      <c r="P42" s="216"/>
      <c r="Q42" s="15"/>
    </row>
    <row r="43" spans="2:17" ht="18" customHeight="1" x14ac:dyDescent="0.4">
      <c r="B43" s="5"/>
      <c r="C43" s="217" t="s">
        <v>202</v>
      </c>
      <c r="D43" s="217"/>
      <c r="E43" s="217"/>
      <c r="F43" s="221" t="str">
        <f>Sensors!E27</f>
        <v>GPS-kit (from: GomSpace)</v>
      </c>
      <c r="G43" s="221"/>
      <c r="H43" s="221"/>
      <c r="I43" s="221"/>
      <c r="J43" s="217" t="s">
        <v>202</v>
      </c>
      <c r="K43" s="217"/>
      <c r="L43" s="217"/>
      <c r="M43" s="221" t="str">
        <f>Sensors!E15</f>
        <v>Nano-SSOC-D60 (from: SolarMEMS)</v>
      </c>
      <c r="N43" s="221"/>
      <c r="O43" s="221"/>
      <c r="P43" s="221"/>
      <c r="Q43" s="15"/>
    </row>
    <row r="44" spans="2:17" ht="18" customHeight="1" x14ac:dyDescent="0.4">
      <c r="B44" s="5"/>
      <c r="C44" s="220" t="s">
        <v>292</v>
      </c>
      <c r="D44" s="217"/>
      <c r="E44" s="217"/>
      <c r="F44" s="221">
        <f>Sensors!I29</f>
        <v>3</v>
      </c>
      <c r="G44" s="221"/>
      <c r="H44" s="218" t="s">
        <v>35</v>
      </c>
      <c r="I44" s="219"/>
      <c r="J44" s="220" t="s">
        <v>292</v>
      </c>
      <c r="K44" s="217"/>
      <c r="L44" s="217"/>
      <c r="M44" s="221">
        <f>Sensors!I17</f>
        <v>6</v>
      </c>
      <c r="N44" s="221"/>
      <c r="O44" s="218" t="s">
        <v>35</v>
      </c>
      <c r="P44" s="219"/>
      <c r="Q44" s="15"/>
    </row>
    <row r="45" spans="2:17" ht="18" customHeight="1" x14ac:dyDescent="0.4">
      <c r="B45" s="5"/>
      <c r="C45" s="217" t="s">
        <v>191</v>
      </c>
      <c r="D45" s="217"/>
      <c r="E45" s="217"/>
      <c r="F45" s="221">
        <f>Sensors!J29</f>
        <v>7.2000000000000008E-2</v>
      </c>
      <c r="G45" s="221"/>
      <c r="H45" s="222" t="s">
        <v>172</v>
      </c>
      <c r="I45" s="219"/>
      <c r="J45" s="217" t="s">
        <v>191</v>
      </c>
      <c r="K45" s="217"/>
      <c r="L45" s="217"/>
      <c r="M45" s="221">
        <f>Sensors!J17</f>
        <v>3.9E-2</v>
      </c>
      <c r="N45" s="221"/>
      <c r="O45" s="222" t="s">
        <v>172</v>
      </c>
      <c r="P45" s="219"/>
      <c r="Q45" s="15"/>
    </row>
    <row r="46" spans="2:17" ht="18" customHeight="1" x14ac:dyDescent="0.4">
      <c r="B46" s="5"/>
      <c r="C46" s="217" t="s">
        <v>192</v>
      </c>
      <c r="D46" s="217"/>
      <c r="E46" s="217"/>
      <c r="F46" s="221">
        <f>Sensors!K29</f>
        <v>3.4649999999999994</v>
      </c>
      <c r="G46" s="221"/>
      <c r="H46" s="222" t="s">
        <v>41</v>
      </c>
      <c r="I46" s="219"/>
      <c r="J46" s="217" t="s">
        <v>192</v>
      </c>
      <c r="K46" s="217"/>
      <c r="L46" s="217"/>
      <c r="M46" s="221">
        <f>Sensors!K17</f>
        <v>0.45539999999999997</v>
      </c>
      <c r="N46" s="221"/>
      <c r="O46" s="222" t="s">
        <v>41</v>
      </c>
      <c r="P46" s="219"/>
      <c r="Q46" s="15"/>
    </row>
    <row r="47" spans="2:17" ht="18" customHeight="1" x14ac:dyDescent="0.4">
      <c r="B47" s="5"/>
      <c r="C47" s="62"/>
      <c r="D47" s="62"/>
      <c r="E47" s="62"/>
      <c r="F47" s="62"/>
      <c r="G47" s="62"/>
      <c r="H47" s="62"/>
      <c r="I47" s="63"/>
      <c r="J47" s="62"/>
      <c r="K47" s="62"/>
      <c r="L47" s="62"/>
      <c r="M47" s="62"/>
      <c r="N47" s="62"/>
      <c r="O47" s="62"/>
      <c r="P47" s="62"/>
      <c r="Q47" s="15"/>
    </row>
    <row r="48" spans="2:17" ht="18" customHeight="1" x14ac:dyDescent="0.4">
      <c r="B48" s="5"/>
      <c r="C48" s="223" t="s">
        <v>850</v>
      </c>
      <c r="D48" s="224"/>
      <c r="E48" s="224"/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224"/>
      <c r="Q48" s="15"/>
    </row>
    <row r="49" spans="2:17" ht="18" customHeight="1" x14ac:dyDescent="0.4">
      <c r="B49" s="5"/>
      <c r="C49" s="214" t="s">
        <v>846</v>
      </c>
      <c r="D49" s="215"/>
      <c r="E49" s="215"/>
      <c r="F49" s="215"/>
      <c r="G49" s="215"/>
      <c r="H49" s="215"/>
      <c r="I49" s="216"/>
      <c r="J49" s="214" t="s">
        <v>847</v>
      </c>
      <c r="K49" s="215"/>
      <c r="L49" s="215"/>
      <c r="M49" s="215"/>
      <c r="N49" s="215"/>
      <c r="O49" s="215"/>
      <c r="P49" s="216"/>
      <c r="Q49" s="5"/>
    </row>
    <row r="50" spans="2:17" ht="18" customHeight="1" x14ac:dyDescent="0.4">
      <c r="B50" s="59"/>
      <c r="C50" s="217" t="s">
        <v>202</v>
      </c>
      <c r="D50" s="217"/>
      <c r="E50" s="217"/>
      <c r="F50" s="221" t="str">
        <f>Sensors!E32</f>
        <v>-</v>
      </c>
      <c r="G50" s="221"/>
      <c r="H50" s="221"/>
      <c r="I50" s="221"/>
      <c r="J50" s="217" t="s">
        <v>202</v>
      </c>
      <c r="K50" s="217"/>
      <c r="L50" s="217"/>
      <c r="M50" s="237" t="s">
        <v>849</v>
      </c>
      <c r="N50" s="238"/>
      <c r="O50" s="238"/>
      <c r="P50" s="238"/>
      <c r="Q50" s="15"/>
    </row>
    <row r="51" spans="2:17" ht="18" customHeight="1" x14ac:dyDescent="0.4">
      <c r="B51" s="59"/>
      <c r="C51" s="220" t="s">
        <v>292</v>
      </c>
      <c r="D51" s="217"/>
      <c r="E51" s="217"/>
      <c r="F51" s="221" t="str">
        <f>Sensors!I32</f>
        <v>-</v>
      </c>
      <c r="G51" s="221"/>
      <c r="H51" s="218" t="s">
        <v>35</v>
      </c>
      <c r="I51" s="219"/>
      <c r="J51" s="220" t="s">
        <v>292</v>
      </c>
      <c r="K51" s="217"/>
      <c r="L51" s="217"/>
      <c r="M51" s="239">
        <v>1</v>
      </c>
      <c r="N51" s="240"/>
      <c r="O51" s="218" t="s">
        <v>35</v>
      </c>
      <c r="P51" s="219"/>
      <c r="Q51" s="15"/>
    </row>
    <row r="52" spans="2:17" ht="18" customHeight="1" x14ac:dyDescent="0.4">
      <c r="B52" s="59"/>
      <c r="C52" s="217" t="s">
        <v>191</v>
      </c>
      <c r="D52" s="217"/>
      <c r="E52" s="217"/>
      <c r="F52" s="221" t="str">
        <f>Sensors!G32</f>
        <v>-</v>
      </c>
      <c r="G52" s="221"/>
      <c r="H52" s="222" t="s">
        <v>172</v>
      </c>
      <c r="I52" s="219"/>
      <c r="J52" s="217" t="s">
        <v>191</v>
      </c>
      <c r="K52" s="217"/>
      <c r="L52" s="217"/>
      <c r="M52" s="239">
        <v>2.4E-2</v>
      </c>
      <c r="N52" s="240"/>
      <c r="O52" s="222" t="s">
        <v>172</v>
      </c>
      <c r="P52" s="219"/>
      <c r="Q52" s="59"/>
    </row>
    <row r="53" spans="2:17" ht="18" customHeight="1" x14ac:dyDescent="0.4">
      <c r="B53" s="59"/>
      <c r="C53" s="217" t="s">
        <v>192</v>
      </c>
      <c r="D53" s="217"/>
      <c r="E53" s="217"/>
      <c r="F53" s="221" t="str">
        <f>Sensors!H32</f>
        <v>-</v>
      </c>
      <c r="G53" s="221"/>
      <c r="H53" s="222" t="s">
        <v>41</v>
      </c>
      <c r="I53" s="219"/>
      <c r="J53" s="217" t="s">
        <v>192</v>
      </c>
      <c r="K53" s="217"/>
      <c r="L53" s="217"/>
      <c r="M53" s="239">
        <v>0.45</v>
      </c>
      <c r="N53" s="240"/>
      <c r="O53" s="222" t="s">
        <v>41</v>
      </c>
      <c r="P53" s="219"/>
      <c r="Q53" s="59"/>
    </row>
    <row r="54" spans="2:17" ht="18" customHeight="1" x14ac:dyDescent="0.4">
      <c r="B54" s="59"/>
      <c r="C54" s="62"/>
      <c r="D54" s="62"/>
      <c r="E54" s="62"/>
      <c r="F54" s="62"/>
      <c r="G54" s="62"/>
      <c r="H54" s="62"/>
      <c r="I54" s="63"/>
      <c r="J54" s="62"/>
      <c r="K54" s="62"/>
      <c r="L54" s="62"/>
      <c r="M54" s="62"/>
      <c r="N54" s="62"/>
      <c r="O54" s="62"/>
      <c r="P54" s="62"/>
      <c r="Q54" s="15"/>
    </row>
    <row r="55" spans="2:17" ht="18" customHeight="1" x14ac:dyDescent="0.4">
      <c r="B55" s="59"/>
      <c r="C55" s="62"/>
      <c r="D55" s="62"/>
      <c r="E55" s="62"/>
      <c r="F55" s="62"/>
      <c r="G55" s="62"/>
      <c r="H55" s="62"/>
      <c r="I55" s="63"/>
      <c r="J55" s="62"/>
      <c r="K55" s="62"/>
      <c r="L55" s="62"/>
      <c r="M55" s="62"/>
      <c r="N55" s="62"/>
      <c r="O55" s="62"/>
      <c r="P55" s="62"/>
      <c r="Q55" s="15"/>
    </row>
    <row r="56" spans="2:17" ht="18" customHeight="1" x14ac:dyDescent="0.4"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</row>
  </sheetData>
  <sheetProtection selectLockedCells="1"/>
  <mergeCells count="187">
    <mergeCell ref="C53:E53"/>
    <mergeCell ref="F53:G53"/>
    <mergeCell ref="H53:I53"/>
    <mergeCell ref="J49:P49"/>
    <mergeCell ref="J50:L50"/>
    <mergeCell ref="M50:P50"/>
    <mergeCell ref="J51:L51"/>
    <mergeCell ref="M51:N51"/>
    <mergeCell ref="O51:P51"/>
    <mergeCell ref="J52:L52"/>
    <mergeCell ref="M52:N52"/>
    <mergeCell ref="O52:P52"/>
    <mergeCell ref="J53:L53"/>
    <mergeCell ref="M53:N53"/>
    <mergeCell ref="O53:P53"/>
    <mergeCell ref="C48:P48"/>
    <mergeCell ref="C49:I49"/>
    <mergeCell ref="C50:E50"/>
    <mergeCell ref="F50:I50"/>
    <mergeCell ref="C51:E51"/>
    <mergeCell ref="F51:G51"/>
    <mergeCell ref="H51:I51"/>
    <mergeCell ref="C52:E52"/>
    <mergeCell ref="F52:G52"/>
    <mergeCell ref="H52:I52"/>
    <mergeCell ref="O22:P22"/>
    <mergeCell ref="O23:P23"/>
    <mergeCell ref="F4:L5"/>
    <mergeCell ref="F6:L7"/>
    <mergeCell ref="M11:N11"/>
    <mergeCell ref="C13:E13"/>
    <mergeCell ref="F13:G13"/>
    <mergeCell ref="F14:G14"/>
    <mergeCell ref="C15:E15"/>
    <mergeCell ref="F15:G15"/>
    <mergeCell ref="C10:I10"/>
    <mergeCell ref="F11:G11"/>
    <mergeCell ref="H11:I11"/>
    <mergeCell ref="C12:E12"/>
    <mergeCell ref="F12:G12"/>
    <mergeCell ref="H12:I12"/>
    <mergeCell ref="M12:N13"/>
    <mergeCell ref="C14:E14"/>
    <mergeCell ref="C16:E16"/>
    <mergeCell ref="C17:E17"/>
    <mergeCell ref="J22:L22"/>
    <mergeCell ref="J23:L23"/>
    <mergeCell ref="F29:G29"/>
    <mergeCell ref="H29:I29"/>
    <mergeCell ref="M23:N23"/>
    <mergeCell ref="O12:P13"/>
    <mergeCell ref="J14:L15"/>
    <mergeCell ref="M14:N15"/>
    <mergeCell ref="O14:P15"/>
    <mergeCell ref="J17:L17"/>
    <mergeCell ref="M17:N17"/>
    <mergeCell ref="O17:P17"/>
    <mergeCell ref="F27:G27"/>
    <mergeCell ref="H27:I27"/>
    <mergeCell ref="M16:N16"/>
    <mergeCell ref="O16:P16"/>
    <mergeCell ref="J12:L13"/>
    <mergeCell ref="J16:L16"/>
    <mergeCell ref="J27:L27"/>
    <mergeCell ref="M27:N27"/>
    <mergeCell ref="J21:L21"/>
    <mergeCell ref="F17:G17"/>
    <mergeCell ref="H17:I17"/>
    <mergeCell ref="F16:G16"/>
    <mergeCell ref="H16:I16"/>
    <mergeCell ref="M21:P21"/>
    <mergeCell ref="M24:N24"/>
    <mergeCell ref="C28:E28"/>
    <mergeCell ref="F28:G28"/>
    <mergeCell ref="H28:I28"/>
    <mergeCell ref="C21:E21"/>
    <mergeCell ref="C26:E26"/>
    <mergeCell ref="C22:E22"/>
    <mergeCell ref="F22:G22"/>
    <mergeCell ref="F21:I21"/>
    <mergeCell ref="F26:I26"/>
    <mergeCell ref="H22:I22"/>
    <mergeCell ref="M22:N22"/>
    <mergeCell ref="J24:L24"/>
    <mergeCell ref="C23:E23"/>
    <mergeCell ref="F23:G23"/>
    <mergeCell ref="H23:I23"/>
    <mergeCell ref="C24:E24"/>
    <mergeCell ref="F24:G24"/>
    <mergeCell ref="H24:I24"/>
    <mergeCell ref="C27:E27"/>
    <mergeCell ref="C46:E46"/>
    <mergeCell ref="M46:N46"/>
    <mergeCell ref="J39:L39"/>
    <mergeCell ref="M39:N39"/>
    <mergeCell ref="H40:I40"/>
    <mergeCell ref="H41:I41"/>
    <mergeCell ref="C38:E38"/>
    <mergeCell ref="C40:E40"/>
    <mergeCell ref="F40:G40"/>
    <mergeCell ref="C41:E41"/>
    <mergeCell ref="F41:G41"/>
    <mergeCell ref="C39:E39"/>
    <mergeCell ref="F39:G39"/>
    <mergeCell ref="J40:L40"/>
    <mergeCell ref="J41:L41"/>
    <mergeCell ref="M41:N41"/>
    <mergeCell ref="J38:L38"/>
    <mergeCell ref="C43:E43"/>
    <mergeCell ref="F38:I38"/>
    <mergeCell ref="M38:P38"/>
    <mergeCell ref="C45:E45"/>
    <mergeCell ref="O44:P44"/>
    <mergeCell ref="M44:N44"/>
    <mergeCell ref="J44:L44"/>
    <mergeCell ref="H44:I44"/>
    <mergeCell ref="F44:G44"/>
    <mergeCell ref="C44:E44"/>
    <mergeCell ref="O45:P45"/>
    <mergeCell ref="M45:N45"/>
    <mergeCell ref="J45:L45"/>
    <mergeCell ref="H45:I45"/>
    <mergeCell ref="F45:G45"/>
    <mergeCell ref="J10:P10"/>
    <mergeCell ref="O11:P11"/>
    <mergeCell ref="H35:I35"/>
    <mergeCell ref="H15:I15"/>
    <mergeCell ref="H14:I14"/>
    <mergeCell ref="H13:I13"/>
    <mergeCell ref="C11:E11"/>
    <mergeCell ref="C20:I20"/>
    <mergeCell ref="C25:I25"/>
    <mergeCell ref="C19:P19"/>
    <mergeCell ref="J11:L11"/>
    <mergeCell ref="J20:P20"/>
    <mergeCell ref="J25:P25"/>
    <mergeCell ref="O35:P35"/>
    <mergeCell ref="O24:P24"/>
    <mergeCell ref="J33:L33"/>
    <mergeCell ref="O46:P46"/>
    <mergeCell ref="M33:P33"/>
    <mergeCell ref="J26:L26"/>
    <mergeCell ref="O41:P41"/>
    <mergeCell ref="O40:P40"/>
    <mergeCell ref="M43:P43"/>
    <mergeCell ref="J43:L43"/>
    <mergeCell ref="F43:I43"/>
    <mergeCell ref="J46:L46"/>
    <mergeCell ref="H46:I46"/>
    <mergeCell ref="F46:G46"/>
    <mergeCell ref="O27:P27"/>
    <mergeCell ref="O28:P28"/>
    <mergeCell ref="M29:N29"/>
    <mergeCell ref="O29:P29"/>
    <mergeCell ref="M26:P26"/>
    <mergeCell ref="M34:N34"/>
    <mergeCell ref="M28:N28"/>
    <mergeCell ref="C42:I42"/>
    <mergeCell ref="C32:I32"/>
    <mergeCell ref="C37:I37"/>
    <mergeCell ref="C31:P31"/>
    <mergeCell ref="J32:P32"/>
    <mergeCell ref="J37:P37"/>
    <mergeCell ref="J42:P42"/>
    <mergeCell ref="J29:L29"/>
    <mergeCell ref="J28:L28"/>
    <mergeCell ref="H34:I34"/>
    <mergeCell ref="C34:E34"/>
    <mergeCell ref="J35:L35"/>
    <mergeCell ref="M35:N35"/>
    <mergeCell ref="O34:P34"/>
    <mergeCell ref="C33:E33"/>
    <mergeCell ref="F33:I33"/>
    <mergeCell ref="C35:E35"/>
    <mergeCell ref="F35:G35"/>
    <mergeCell ref="F34:G34"/>
    <mergeCell ref="J34:L34"/>
    <mergeCell ref="M40:N40"/>
    <mergeCell ref="H39:I39"/>
    <mergeCell ref="C36:E36"/>
    <mergeCell ref="F36:G36"/>
    <mergeCell ref="H36:I36"/>
    <mergeCell ref="O39:P39"/>
    <mergeCell ref="J36:L36"/>
    <mergeCell ref="M36:N36"/>
    <mergeCell ref="O36:P36"/>
    <mergeCell ref="C29:E29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0000000}">
          <x14:formula1>
            <xm:f>'Auxiliar Information'!$D$23:$D$27</xm:f>
          </x14:formula1>
          <xm:sqref>F12:G12</xm:sqref>
        </x14:dataValidation>
        <x14:dataValidation type="list" allowBlank="1" showInputMessage="1" showErrorMessage="1" xr:uid="{00000000-0002-0000-0A00-000001000000}">
          <x14:formula1>
            <xm:f>'Auxiliar Information'!$I$23:$I$25</xm:f>
          </x14:formula1>
          <xm:sqref>F16:G16</xm:sqref>
        </x14:dataValidation>
        <x14:dataValidation type="list" allowBlank="1" showInputMessage="1" showErrorMessage="1" xr:uid="{00000000-0002-0000-0A00-000002000000}">
          <x14:formula1>
            <xm:f>'Auxiliar Information'!$N$23:$N$25</xm:f>
          </x14:formula1>
          <xm:sqref>F13:G13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>
    <tabColor theme="8" tint="0.39997558519241921"/>
  </sheetPr>
  <dimension ref="B1:W50"/>
  <sheetViews>
    <sheetView showRowColHeaders="0" zoomScaleNormal="100" workbookViewId="0">
      <selection activeCell="P15" sqref="P15"/>
    </sheetView>
  </sheetViews>
  <sheetFormatPr defaultColWidth="9" defaultRowHeight="18" customHeight="1" x14ac:dyDescent="0.4"/>
  <cols>
    <col min="1" max="13" width="9" style="4"/>
    <col min="14" max="14" width="9.3984375" style="4" customWidth="1"/>
    <col min="15" max="16384" width="9" style="4"/>
  </cols>
  <sheetData>
    <row r="1" spans="2:23" ht="15" customHeight="1" x14ac:dyDescent="0.4"/>
    <row r="2" spans="2:23" ht="15" customHeight="1" x14ac:dyDescent="0.4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2:23" ht="15" customHeight="1" x14ac:dyDescent="0.4">
      <c r="B3" s="5"/>
      <c r="W3" s="5"/>
    </row>
    <row r="4" spans="2:23" ht="15" customHeight="1" x14ac:dyDescent="0.4">
      <c r="B4" s="5"/>
      <c r="G4" s="199" t="s">
        <v>53</v>
      </c>
      <c r="H4" s="199"/>
      <c r="I4" s="199"/>
      <c r="J4" s="199"/>
      <c r="K4" s="199"/>
      <c r="L4" s="199"/>
      <c r="M4" s="199"/>
      <c r="N4" s="199"/>
      <c r="O4" s="199"/>
      <c r="P4" s="199"/>
      <c r="Q4" s="38"/>
      <c r="R4" s="38"/>
      <c r="S4" s="38"/>
      <c r="T4" s="38"/>
      <c r="U4" s="38"/>
      <c r="W4" s="5"/>
    </row>
    <row r="5" spans="2:23" ht="15" customHeight="1" x14ac:dyDescent="0.4">
      <c r="B5" s="5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38"/>
      <c r="R5" s="38"/>
      <c r="S5" s="38"/>
      <c r="T5" s="38"/>
      <c r="U5" s="38"/>
      <c r="W5" s="5"/>
    </row>
    <row r="6" spans="2:23" ht="15" customHeight="1" x14ac:dyDescent="0.4">
      <c r="B6" s="5"/>
      <c r="G6" s="200" t="s">
        <v>222</v>
      </c>
      <c r="H6" s="200"/>
      <c r="I6" s="200"/>
      <c r="J6" s="200"/>
      <c r="K6" s="200"/>
      <c r="L6" s="200"/>
      <c r="M6" s="200"/>
      <c r="N6" s="200"/>
      <c r="O6" s="200"/>
      <c r="P6" s="200"/>
      <c r="Q6" s="39"/>
      <c r="R6" s="39"/>
      <c r="S6" s="39"/>
      <c r="T6" s="39"/>
      <c r="U6" s="39"/>
      <c r="W6" s="5"/>
    </row>
    <row r="7" spans="2:23" ht="15" customHeight="1" x14ac:dyDescent="0.4">
      <c r="B7" s="5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39"/>
      <c r="R7" s="39"/>
      <c r="S7" s="39"/>
      <c r="T7" s="39"/>
      <c r="U7" s="39"/>
      <c r="W7" s="5"/>
    </row>
    <row r="8" spans="2:23" ht="15" customHeight="1" x14ac:dyDescent="0.4">
      <c r="B8" s="5"/>
      <c r="W8" s="5"/>
    </row>
    <row r="9" spans="2:23" ht="18" customHeight="1" x14ac:dyDescent="0.4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2:23" ht="18" customHeight="1" x14ac:dyDescent="0.4">
      <c r="B10" s="59"/>
      <c r="C10" s="242" t="s">
        <v>635</v>
      </c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59"/>
      <c r="P10" s="59"/>
      <c r="Q10" s="59"/>
      <c r="R10" s="59"/>
      <c r="S10" s="59"/>
      <c r="T10" s="59"/>
      <c r="U10" s="59"/>
      <c r="V10" s="59"/>
      <c r="W10" s="59"/>
    </row>
    <row r="11" spans="2:23" ht="18" customHeight="1" x14ac:dyDescent="0.4">
      <c r="B11" s="5"/>
      <c r="C11" s="243" t="s">
        <v>14</v>
      </c>
      <c r="D11" s="244"/>
      <c r="E11" s="244"/>
      <c r="F11" s="244"/>
      <c r="G11" s="244"/>
      <c r="H11" s="245"/>
      <c r="I11" s="281" t="s">
        <v>36</v>
      </c>
      <c r="J11" s="281"/>
      <c r="K11" s="281" t="s">
        <v>20</v>
      </c>
      <c r="L11" s="281"/>
      <c r="M11" s="71" t="s">
        <v>143</v>
      </c>
      <c r="N11" s="71" t="s">
        <v>155</v>
      </c>
      <c r="O11" s="59"/>
      <c r="P11" s="59"/>
      <c r="Q11" s="59"/>
      <c r="R11" s="59"/>
      <c r="S11" s="59"/>
      <c r="T11" s="59"/>
      <c r="U11" s="59"/>
      <c r="V11" s="59"/>
      <c r="W11" s="5"/>
    </row>
    <row r="12" spans="2:23" ht="18" customHeight="1" x14ac:dyDescent="0.4">
      <c r="B12" s="5"/>
      <c r="C12" s="297" t="s">
        <v>356</v>
      </c>
      <c r="D12" s="297"/>
      <c r="E12" s="269" t="s">
        <v>135</v>
      </c>
      <c r="F12" s="270"/>
      <c r="G12" s="270"/>
      <c r="H12" s="271"/>
      <c r="I12" s="285">
        <f>3*I38*ABS(I29-I28)*SIN(2*PI()*2*I20/360)/(I39*I39*I39)</f>
        <v>2.368567112556917E-16</v>
      </c>
      <c r="J12" s="285"/>
      <c r="K12" s="289" t="s">
        <v>168</v>
      </c>
      <c r="L12" s="290"/>
      <c r="M12" s="30">
        <f>IFERROR(I12/disturbance_torque_total*100,0)</f>
        <v>3.0087956892553548E-6</v>
      </c>
      <c r="N12" s="50">
        <f>IFERROR(I12/MAX($I$12:$J$15),0)</f>
        <v>3.0087957797838724E-8</v>
      </c>
      <c r="O12" s="59"/>
      <c r="P12" s="59"/>
      <c r="Q12" s="59"/>
      <c r="R12" s="59"/>
      <c r="S12" s="59"/>
      <c r="T12" s="59"/>
      <c r="U12" s="59"/>
      <c r="V12" s="59"/>
      <c r="W12" s="5"/>
    </row>
    <row r="13" spans="2:23" ht="18" customHeight="1" x14ac:dyDescent="0.4">
      <c r="B13" s="5"/>
      <c r="C13" s="299" t="s">
        <v>357</v>
      </c>
      <c r="D13" s="299"/>
      <c r="E13" s="272" t="s">
        <v>136</v>
      </c>
      <c r="F13" s="273"/>
      <c r="G13" s="273"/>
      <c r="H13" s="274"/>
      <c r="I13" s="286">
        <f>I42*I31*(1+I21)*COS(2*PI()*I22/360)*I32/speed_of_light</f>
        <v>7.8721431626278594E-9</v>
      </c>
      <c r="J13" s="286"/>
      <c r="K13" s="291" t="s">
        <v>168</v>
      </c>
      <c r="L13" s="292"/>
      <c r="M13" s="31">
        <f>IFERROR(I13/disturbance_torque_total*100,0)</f>
        <v>99.999996991204313</v>
      </c>
      <c r="N13" s="51">
        <f>IFERROR(I13/MAX($I$12:$J$15),0)</f>
        <v>1</v>
      </c>
      <c r="O13" s="59"/>
      <c r="P13" s="59"/>
      <c r="Q13" s="59"/>
      <c r="R13" s="59"/>
      <c r="S13" s="59"/>
      <c r="T13" s="59"/>
      <c r="U13" s="59"/>
      <c r="V13" s="59"/>
      <c r="W13" s="5"/>
    </row>
    <row r="14" spans="2:23" ht="18" customHeight="1" x14ac:dyDescent="0.4">
      <c r="B14" s="5"/>
      <c r="C14" s="298" t="s">
        <v>358</v>
      </c>
      <c r="D14" s="298"/>
      <c r="E14" s="275" t="s">
        <v>137</v>
      </c>
      <c r="F14" s="276"/>
      <c r="G14" s="276"/>
      <c r="H14" s="277"/>
      <c r="I14" s="287">
        <f>I23*2*I43/(I39*I39*I39)</f>
        <v>0</v>
      </c>
      <c r="J14" s="287"/>
      <c r="K14" s="293" t="s">
        <v>168</v>
      </c>
      <c r="L14" s="294"/>
      <c r="M14" s="32">
        <f>IFERROR(I14/disturbance_torque_total*100,0)</f>
        <v>0</v>
      </c>
      <c r="N14" s="52">
        <f>IFERROR(I14/MAX($I$12:$J$15),0)</f>
        <v>0</v>
      </c>
      <c r="O14" s="59"/>
      <c r="P14" s="59"/>
      <c r="Q14" s="59"/>
      <c r="R14" s="59"/>
      <c r="S14" s="59"/>
      <c r="T14" s="59"/>
      <c r="U14" s="59"/>
      <c r="V14" s="59"/>
      <c r="W14" s="5"/>
    </row>
    <row r="15" spans="2:23" ht="18" customHeight="1" x14ac:dyDescent="0.4">
      <c r="B15" s="5"/>
      <c r="C15" s="300" t="s">
        <v>359</v>
      </c>
      <c r="D15" s="300"/>
      <c r="E15" s="278" t="s">
        <v>138</v>
      </c>
      <c r="F15" s="279"/>
      <c r="G15" s="279"/>
      <c r="H15" s="280"/>
      <c r="I15" s="288">
        <f>0.5*I41*I40*I40*I30*I24*I33</f>
        <v>0</v>
      </c>
      <c r="J15" s="288"/>
      <c r="K15" s="295" t="s">
        <v>168</v>
      </c>
      <c r="L15" s="296"/>
      <c r="M15" s="33">
        <f>IFERROR(I15/disturbance_torque_total*100,0)</f>
        <v>0</v>
      </c>
      <c r="N15" s="53">
        <f>IFERROR(I15/MAX($I$12:$J$15),0)</f>
        <v>0</v>
      </c>
      <c r="O15" s="59"/>
      <c r="P15" s="59"/>
      <c r="Q15" s="59"/>
      <c r="R15" s="59"/>
      <c r="S15" s="59"/>
      <c r="T15" s="59"/>
      <c r="U15" s="59"/>
      <c r="V15" s="59"/>
      <c r="W15" s="5"/>
    </row>
    <row r="16" spans="2:23" ht="18" customHeight="1" x14ac:dyDescent="0.4">
      <c r="B16" s="59"/>
      <c r="C16" s="282" t="s">
        <v>319</v>
      </c>
      <c r="D16" s="282"/>
      <c r="E16" s="283" t="s">
        <v>317</v>
      </c>
      <c r="F16" s="283"/>
      <c r="G16" s="283"/>
      <c r="H16" s="283"/>
      <c r="I16" s="284">
        <f>SUM(I12:J15)</f>
        <v>7.8721433994845709E-9</v>
      </c>
      <c r="J16" s="284"/>
      <c r="K16" s="283" t="s">
        <v>168</v>
      </c>
      <c r="L16" s="283"/>
      <c r="M16" s="87">
        <f>IFERROR(I16/disturbance_torque_total*100,0)</f>
        <v>100</v>
      </c>
      <c r="N16" s="88"/>
      <c r="O16" s="59"/>
      <c r="P16" s="59"/>
      <c r="Q16" s="59"/>
      <c r="R16" s="59"/>
      <c r="S16" s="59"/>
      <c r="T16" s="59"/>
      <c r="U16" s="59"/>
      <c r="V16" s="59"/>
      <c r="W16" s="59"/>
    </row>
    <row r="17" spans="2:23" ht="18" customHeight="1" x14ac:dyDescent="0.4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2:23" ht="18" customHeight="1" x14ac:dyDescent="0.4">
      <c r="B18" s="5"/>
      <c r="C18" s="242" t="s">
        <v>248</v>
      </c>
      <c r="D18" s="242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2"/>
      <c r="T18" s="242"/>
      <c r="U18" s="242"/>
      <c r="V18" s="242"/>
      <c r="W18" s="16"/>
    </row>
    <row r="19" spans="2:23" ht="18" customHeight="1" x14ac:dyDescent="0.4">
      <c r="B19" s="5"/>
      <c r="C19" s="214" t="s">
        <v>14</v>
      </c>
      <c r="D19" s="215"/>
      <c r="E19" s="215"/>
      <c r="F19" s="215"/>
      <c r="G19" s="216"/>
      <c r="H19" s="78" t="s">
        <v>634</v>
      </c>
      <c r="I19" s="233" t="s">
        <v>36</v>
      </c>
      <c r="J19" s="233" t="s">
        <v>40</v>
      </c>
      <c r="K19" s="233" t="s">
        <v>20</v>
      </c>
      <c r="L19" s="233" t="s">
        <v>40</v>
      </c>
      <c r="M19" s="233" t="s">
        <v>636</v>
      </c>
      <c r="N19" s="233"/>
      <c r="O19" s="233"/>
      <c r="P19" s="233"/>
      <c r="Q19" s="251" t="s">
        <v>7</v>
      </c>
      <c r="R19" s="251"/>
      <c r="S19" s="251"/>
      <c r="T19" s="251"/>
      <c r="U19" s="251"/>
      <c r="V19" s="251"/>
      <c r="W19" s="16"/>
    </row>
    <row r="20" spans="2:23" ht="18" customHeight="1" x14ac:dyDescent="0.4">
      <c r="B20" s="5"/>
      <c r="C20" s="246" t="s">
        <v>146</v>
      </c>
      <c r="D20" s="246"/>
      <c r="E20" s="252" t="s">
        <v>642</v>
      </c>
      <c r="F20" s="252"/>
      <c r="G20" s="252"/>
      <c r="H20" s="86"/>
      <c r="I20" s="258">
        <f>IF(H20&lt;&gt;"",H20,max_dev_default)</f>
        <v>20</v>
      </c>
      <c r="J20" s="258"/>
      <c r="K20" s="248" t="s">
        <v>124</v>
      </c>
      <c r="L20" s="248"/>
      <c r="M20" s="24"/>
      <c r="N20" s="28"/>
      <c r="O20" s="28"/>
      <c r="P20" s="28"/>
      <c r="Q20" s="266" t="s">
        <v>643</v>
      </c>
      <c r="R20" s="266"/>
      <c r="S20" s="266"/>
      <c r="T20" s="266"/>
      <c r="U20" s="266"/>
      <c r="V20" s="266"/>
      <c r="W20" s="16"/>
    </row>
    <row r="21" spans="2:23" ht="18" customHeight="1" x14ac:dyDescent="0.4">
      <c r="B21" s="5"/>
      <c r="C21" s="246" t="s">
        <v>145</v>
      </c>
      <c r="D21" s="246"/>
      <c r="E21" s="247" t="s">
        <v>128</v>
      </c>
      <c r="F21" s="247"/>
      <c r="G21" s="247"/>
      <c r="H21" s="36" t="s">
        <v>45</v>
      </c>
      <c r="I21" s="248">
        <f>IF(reflectivity_factor="-",0,reflectivity_factor)</f>
        <v>0.12</v>
      </c>
      <c r="J21" s="248"/>
      <c r="K21" s="227" t="s">
        <v>35</v>
      </c>
      <c r="L21" s="248"/>
      <c r="M21" s="28"/>
      <c r="N21" s="25"/>
      <c r="O21" s="28"/>
      <c r="P21" s="28"/>
      <c r="Q21" s="262" t="s">
        <v>219</v>
      </c>
      <c r="R21" s="263"/>
      <c r="S21" s="263"/>
      <c r="T21" s="263"/>
      <c r="U21" s="263"/>
      <c r="V21" s="263"/>
      <c r="W21" s="16"/>
    </row>
    <row r="22" spans="2:23" ht="18" customHeight="1" x14ac:dyDescent="0.4">
      <c r="B22" s="5"/>
      <c r="C22" s="246" t="s">
        <v>144</v>
      </c>
      <c r="D22" s="246"/>
      <c r="E22" s="250" t="s">
        <v>123</v>
      </c>
      <c r="F22" s="247"/>
      <c r="G22" s="247"/>
      <c r="H22" s="86"/>
      <c r="I22" s="258">
        <f>IF(H22&lt;&gt;"",H22,sun_incident_ang_default)</f>
        <v>5</v>
      </c>
      <c r="J22" s="258"/>
      <c r="K22" s="248" t="s">
        <v>124</v>
      </c>
      <c r="L22" s="248"/>
      <c r="M22" s="28"/>
      <c r="N22" s="25"/>
      <c r="O22" s="28"/>
      <c r="P22" s="28"/>
      <c r="Q22" s="263" t="s">
        <v>123</v>
      </c>
      <c r="R22" s="263"/>
      <c r="S22" s="263"/>
      <c r="T22" s="263"/>
      <c r="U22" s="263"/>
      <c r="V22" s="263"/>
      <c r="W22" s="16"/>
    </row>
    <row r="23" spans="2:23" ht="18" customHeight="1" x14ac:dyDescent="0.4">
      <c r="B23" s="5"/>
      <c r="C23" s="246" t="s">
        <v>640</v>
      </c>
      <c r="D23" s="246"/>
      <c r="E23" s="247" t="s">
        <v>133</v>
      </c>
      <c r="F23" s="247"/>
      <c r="G23" s="247"/>
      <c r="H23" s="86">
        <v>0</v>
      </c>
      <c r="I23" s="258">
        <f>IF(H23&lt;&gt;"",H23,mag_dipole_sat_default)</f>
        <v>0</v>
      </c>
      <c r="J23" s="258"/>
      <c r="K23" s="227" t="s">
        <v>180</v>
      </c>
      <c r="L23" s="248"/>
      <c r="M23" s="28"/>
      <c r="N23" s="28"/>
      <c r="O23" s="26"/>
      <c r="P23" s="28"/>
      <c r="Q23" s="263" t="s">
        <v>134</v>
      </c>
      <c r="R23" s="263"/>
      <c r="S23" s="263"/>
      <c r="T23" s="263"/>
      <c r="U23" s="263"/>
      <c r="V23" s="263"/>
      <c r="W23" s="16"/>
    </row>
    <row r="24" spans="2:23" ht="18" customHeight="1" x14ac:dyDescent="0.4">
      <c r="B24" s="5"/>
      <c r="C24" s="246" t="s">
        <v>343</v>
      </c>
      <c r="D24" s="246"/>
      <c r="E24" s="247" t="s">
        <v>139</v>
      </c>
      <c r="F24" s="247"/>
      <c r="G24" s="247"/>
      <c r="H24" s="77" t="s">
        <v>352</v>
      </c>
      <c r="I24" s="221">
        <f>drag_coef</f>
        <v>1</v>
      </c>
      <c r="J24" s="221"/>
      <c r="K24" s="227" t="s">
        <v>35</v>
      </c>
      <c r="L24" s="248"/>
      <c r="M24" s="28"/>
      <c r="N24" s="28"/>
      <c r="O24" s="28"/>
      <c r="P24" s="27"/>
      <c r="Q24" s="263" t="s">
        <v>139</v>
      </c>
      <c r="R24" s="263"/>
      <c r="S24" s="263"/>
      <c r="T24" s="263"/>
      <c r="U24" s="263"/>
      <c r="V24" s="263"/>
      <c r="W24" s="16"/>
    </row>
    <row r="25" spans="2:23" ht="18" customHeight="1" x14ac:dyDescent="0.4">
      <c r="B25" s="5"/>
      <c r="C25" s="246" t="s">
        <v>342</v>
      </c>
      <c r="D25" s="246"/>
      <c r="E25" s="250" t="s">
        <v>299</v>
      </c>
      <c r="F25" s="247"/>
      <c r="G25" s="247"/>
      <c r="H25" s="34" t="s">
        <v>49</v>
      </c>
      <c r="I25" s="249">
        <f>inertia_m_x</f>
        <v>0.4</v>
      </c>
      <c r="J25" s="249"/>
      <c r="K25" s="227" t="s">
        <v>176</v>
      </c>
      <c r="L25" s="248"/>
      <c r="M25" s="24"/>
      <c r="N25" s="28"/>
      <c r="O25" s="28"/>
      <c r="P25" s="28"/>
      <c r="Q25" s="266" t="s">
        <v>149</v>
      </c>
      <c r="R25" s="266"/>
      <c r="S25" s="266"/>
      <c r="T25" s="266"/>
      <c r="U25" s="266"/>
      <c r="V25" s="266"/>
      <c r="W25" s="16"/>
    </row>
    <row r="26" spans="2:23" ht="18" customHeight="1" x14ac:dyDescent="0.4">
      <c r="B26" s="5"/>
      <c r="C26" s="246" t="s">
        <v>341</v>
      </c>
      <c r="D26" s="246"/>
      <c r="E26" s="250" t="s">
        <v>300</v>
      </c>
      <c r="F26" s="247"/>
      <c r="G26" s="247"/>
      <c r="H26" s="34" t="s">
        <v>49</v>
      </c>
      <c r="I26" s="249">
        <f>inertia_m_y</f>
        <v>0.2</v>
      </c>
      <c r="J26" s="249"/>
      <c r="K26" s="227" t="s">
        <v>176</v>
      </c>
      <c r="L26" s="248"/>
      <c r="M26" s="24"/>
      <c r="N26" s="28"/>
      <c r="O26" s="28"/>
      <c r="P26" s="28"/>
      <c r="Q26" s="263" t="s">
        <v>150</v>
      </c>
      <c r="R26" s="263"/>
      <c r="S26" s="263"/>
      <c r="T26" s="263"/>
      <c r="U26" s="263"/>
      <c r="V26" s="263"/>
      <c r="W26" s="16"/>
    </row>
    <row r="27" spans="2:23" ht="18" customHeight="1" x14ac:dyDescent="0.4">
      <c r="B27" s="5"/>
      <c r="C27" s="246" t="s">
        <v>340</v>
      </c>
      <c r="D27" s="246"/>
      <c r="E27" s="250" t="s">
        <v>301</v>
      </c>
      <c r="F27" s="247"/>
      <c r="G27" s="247"/>
      <c r="H27" s="34" t="s">
        <v>49</v>
      </c>
      <c r="I27" s="249">
        <f>inertia_m_z</f>
        <v>1.24</v>
      </c>
      <c r="J27" s="249"/>
      <c r="K27" s="227" t="s">
        <v>176</v>
      </c>
      <c r="L27" s="248"/>
      <c r="M27" s="24"/>
      <c r="N27" s="28"/>
      <c r="O27" s="28"/>
      <c r="P27" s="28"/>
      <c r="Q27" s="263" t="s">
        <v>151</v>
      </c>
      <c r="R27" s="263"/>
      <c r="S27" s="263"/>
      <c r="T27" s="263"/>
      <c r="U27" s="263"/>
      <c r="V27" s="263"/>
      <c r="W27" s="16"/>
    </row>
    <row r="28" spans="2:23" ht="18" customHeight="1" x14ac:dyDescent="0.4">
      <c r="B28" s="5"/>
      <c r="C28" s="246" t="s">
        <v>339</v>
      </c>
      <c r="D28" s="246"/>
      <c r="E28" s="250" t="s">
        <v>302</v>
      </c>
      <c r="F28" s="247"/>
      <c r="G28" s="247"/>
      <c r="H28" s="46" t="s">
        <v>35</v>
      </c>
      <c r="I28" s="249">
        <f>MIN(I25:J27)</f>
        <v>0.2</v>
      </c>
      <c r="J28" s="249"/>
      <c r="K28" s="227" t="s">
        <v>176</v>
      </c>
      <c r="L28" s="248"/>
      <c r="M28" s="24"/>
      <c r="N28" s="28"/>
      <c r="O28" s="28"/>
      <c r="P28" s="28"/>
      <c r="Q28" s="263" t="s">
        <v>152</v>
      </c>
      <c r="R28" s="263"/>
      <c r="S28" s="263"/>
      <c r="T28" s="263"/>
      <c r="U28" s="263"/>
      <c r="V28" s="263"/>
      <c r="W28" s="16"/>
    </row>
    <row r="29" spans="2:23" ht="18" customHeight="1" x14ac:dyDescent="0.4">
      <c r="B29" s="5"/>
      <c r="C29" s="246" t="s">
        <v>338</v>
      </c>
      <c r="D29" s="246"/>
      <c r="E29" s="250" t="s">
        <v>303</v>
      </c>
      <c r="F29" s="247"/>
      <c r="G29" s="247"/>
      <c r="H29" s="46" t="s">
        <v>35</v>
      </c>
      <c r="I29" s="249">
        <f>MAX(I25:J27)</f>
        <v>1.24</v>
      </c>
      <c r="J29" s="249"/>
      <c r="K29" s="227" t="s">
        <v>176</v>
      </c>
      <c r="L29" s="248"/>
      <c r="M29" s="24"/>
      <c r="N29" s="28"/>
      <c r="O29" s="28"/>
      <c r="P29" s="28"/>
      <c r="Q29" s="263" t="s">
        <v>153</v>
      </c>
      <c r="R29" s="263"/>
      <c r="S29" s="263"/>
      <c r="T29" s="263"/>
      <c r="U29" s="263"/>
      <c r="V29" s="263"/>
      <c r="W29" s="16"/>
    </row>
    <row r="30" spans="2:23" ht="18" customHeight="1" x14ac:dyDescent="0.4">
      <c r="B30" s="5"/>
      <c r="C30" s="246" t="s">
        <v>336</v>
      </c>
      <c r="D30" s="246"/>
      <c r="E30" s="247" t="s">
        <v>140</v>
      </c>
      <c r="F30" s="247"/>
      <c r="G30" s="247"/>
      <c r="H30" s="77" t="s">
        <v>352</v>
      </c>
      <c r="I30" s="248">
        <f>area_aero</f>
        <v>0.04</v>
      </c>
      <c r="J30" s="248"/>
      <c r="K30" s="248" t="s">
        <v>130</v>
      </c>
      <c r="L30" s="248"/>
      <c r="M30" s="28"/>
      <c r="N30" s="28"/>
      <c r="O30" s="28"/>
      <c r="P30" s="27"/>
      <c r="Q30" s="263" t="s">
        <v>141</v>
      </c>
      <c r="R30" s="263"/>
      <c r="S30" s="263"/>
      <c r="T30" s="263"/>
      <c r="U30" s="263"/>
      <c r="V30" s="263"/>
      <c r="W30" s="16"/>
    </row>
    <row r="31" spans="2:23" ht="18" customHeight="1" x14ac:dyDescent="0.4">
      <c r="B31" s="5"/>
      <c r="C31" s="246" t="s">
        <v>337</v>
      </c>
      <c r="D31" s="246"/>
      <c r="E31" s="247" t="s">
        <v>132</v>
      </c>
      <c r="F31" s="247"/>
      <c r="G31" s="247"/>
      <c r="H31" s="77" t="s">
        <v>352</v>
      </c>
      <c r="I31" s="248">
        <f>area_sun</f>
        <v>0.04</v>
      </c>
      <c r="J31" s="248"/>
      <c r="K31" s="248" t="s">
        <v>130</v>
      </c>
      <c r="L31" s="248"/>
      <c r="M31" s="28"/>
      <c r="N31" s="25"/>
      <c r="O31" s="28"/>
      <c r="P31" s="28"/>
      <c r="Q31" s="263" t="s">
        <v>131</v>
      </c>
      <c r="R31" s="263"/>
      <c r="S31" s="263"/>
      <c r="T31" s="263"/>
      <c r="U31" s="263"/>
      <c r="V31" s="263"/>
      <c r="W31" s="16"/>
    </row>
    <row r="32" spans="2:23" ht="18" customHeight="1" x14ac:dyDescent="0.4">
      <c r="B32" s="5"/>
      <c r="C32" s="246" t="s">
        <v>163</v>
      </c>
      <c r="D32" s="246"/>
      <c r="E32" s="250" t="s">
        <v>218</v>
      </c>
      <c r="F32" s="247"/>
      <c r="G32" s="247"/>
      <c r="H32" s="86">
        <v>0.04</v>
      </c>
      <c r="I32" s="261">
        <f>IF(H32&lt;&gt;"",H32,0.1*MAX(sat_dim_x,sat_dim_y,sat_dim_z))</f>
        <v>0.04</v>
      </c>
      <c r="J32" s="261"/>
      <c r="K32" s="227" t="s">
        <v>110</v>
      </c>
      <c r="L32" s="248"/>
      <c r="M32" s="28"/>
      <c r="N32" s="25"/>
      <c r="O32" s="28"/>
      <c r="P32" s="28"/>
      <c r="Q32" s="262" t="s">
        <v>167</v>
      </c>
      <c r="R32" s="263"/>
      <c r="S32" s="263"/>
      <c r="T32" s="263"/>
      <c r="U32" s="263"/>
      <c r="V32" s="263"/>
      <c r="W32" s="16"/>
    </row>
    <row r="33" spans="2:23" ht="18" customHeight="1" x14ac:dyDescent="0.4">
      <c r="B33" s="5"/>
      <c r="C33" s="246" t="s">
        <v>164</v>
      </c>
      <c r="D33" s="246"/>
      <c r="E33" s="250" t="s">
        <v>217</v>
      </c>
      <c r="F33" s="247"/>
      <c r="G33" s="247"/>
      <c r="H33" s="86">
        <v>0</v>
      </c>
      <c r="I33" s="261">
        <f>IF(H33&lt;&gt;"",H33,0.1*MAX(sat_dim_x,sat_dim_y,sat_dim_z))</f>
        <v>0</v>
      </c>
      <c r="J33" s="261"/>
      <c r="K33" s="227" t="s">
        <v>110</v>
      </c>
      <c r="L33" s="248"/>
      <c r="M33" s="28"/>
      <c r="N33" s="28"/>
      <c r="O33" s="28"/>
      <c r="P33" s="27"/>
      <c r="Q33" s="262" t="s">
        <v>166</v>
      </c>
      <c r="R33" s="263"/>
      <c r="S33" s="263"/>
      <c r="T33" s="263"/>
      <c r="U33" s="263"/>
      <c r="V33" s="263"/>
      <c r="W33" s="16"/>
    </row>
    <row r="34" spans="2:23" ht="18" customHeight="1" x14ac:dyDescent="0.4"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</row>
    <row r="35" spans="2:23" ht="18" customHeight="1" x14ac:dyDescent="0.4">
      <c r="B35" s="5"/>
      <c r="C35" s="242" t="s">
        <v>105</v>
      </c>
      <c r="D35" s="242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2"/>
      <c r="T35" s="242"/>
      <c r="U35" s="242"/>
      <c r="V35" s="242"/>
      <c r="W35" s="16"/>
    </row>
    <row r="36" spans="2:23" ht="18" customHeight="1" x14ac:dyDescent="0.4">
      <c r="B36" s="59"/>
      <c r="C36" s="214" t="s">
        <v>14</v>
      </c>
      <c r="D36" s="215"/>
      <c r="E36" s="215"/>
      <c r="F36" s="215"/>
      <c r="G36" s="216"/>
      <c r="H36" s="121" t="s">
        <v>634</v>
      </c>
      <c r="I36" s="214" t="s">
        <v>36</v>
      </c>
      <c r="J36" s="216" t="s">
        <v>40</v>
      </c>
      <c r="K36" s="214" t="s">
        <v>20</v>
      </c>
      <c r="L36" s="216" t="s">
        <v>40</v>
      </c>
      <c r="M36" s="233" t="s">
        <v>636</v>
      </c>
      <c r="N36" s="233"/>
      <c r="O36" s="233"/>
      <c r="P36" s="233"/>
      <c r="Q36" s="225" t="s">
        <v>7</v>
      </c>
      <c r="R36" s="226"/>
      <c r="S36" s="226"/>
      <c r="T36" s="226"/>
      <c r="U36" s="226"/>
      <c r="V36" s="241"/>
      <c r="W36" s="16"/>
    </row>
    <row r="37" spans="2:23" ht="18" customHeight="1" x14ac:dyDescent="0.4">
      <c r="B37" s="5"/>
      <c r="C37" s="246" t="s">
        <v>332</v>
      </c>
      <c r="D37" s="246"/>
      <c r="E37" s="247" t="s">
        <v>107</v>
      </c>
      <c r="F37" s="247"/>
      <c r="G37" s="247"/>
      <c r="H37" s="132" t="s">
        <v>663</v>
      </c>
      <c r="I37" s="227" t="str">
        <f>central_body</f>
        <v>Earth</v>
      </c>
      <c r="J37" s="248"/>
      <c r="K37" s="227" t="s">
        <v>35</v>
      </c>
      <c r="L37" s="248"/>
      <c r="M37" s="24"/>
      <c r="N37" s="25"/>
      <c r="O37" s="26"/>
      <c r="P37" s="27"/>
      <c r="Q37" s="263" t="s">
        <v>114</v>
      </c>
      <c r="R37" s="263"/>
      <c r="S37" s="263"/>
      <c r="T37" s="263"/>
      <c r="U37" s="263"/>
      <c r="V37" s="263"/>
      <c r="W37" s="16"/>
    </row>
    <row r="38" spans="2:23" ht="18" customHeight="1" x14ac:dyDescent="0.4">
      <c r="B38" s="5"/>
      <c r="C38" s="246" t="s">
        <v>91</v>
      </c>
      <c r="D38" s="246"/>
      <c r="E38" s="250" t="s">
        <v>678</v>
      </c>
      <c r="F38" s="247"/>
      <c r="G38" s="247"/>
      <c r="H38" s="46" t="s">
        <v>35</v>
      </c>
      <c r="I38" s="255">
        <f>VLOOKUP(CONCATENATE("GM_",LOWER(I37)),GM_values,4,FALSE)</f>
        <v>398600000000000</v>
      </c>
      <c r="J38" s="256"/>
      <c r="K38" s="259" t="s">
        <v>108</v>
      </c>
      <c r="L38" s="260"/>
      <c r="M38" s="24"/>
      <c r="N38" s="28"/>
      <c r="O38" s="28"/>
      <c r="P38" s="28"/>
      <c r="Q38" s="263" t="s">
        <v>115</v>
      </c>
      <c r="R38" s="263"/>
      <c r="S38" s="263"/>
      <c r="T38" s="263"/>
      <c r="U38" s="263"/>
      <c r="V38" s="263"/>
      <c r="W38" s="16"/>
    </row>
    <row r="39" spans="2:23" ht="18" customHeight="1" x14ac:dyDescent="0.4">
      <c r="B39" s="5"/>
      <c r="C39" s="246" t="s">
        <v>334</v>
      </c>
      <c r="D39" s="246"/>
      <c r="E39" s="247" t="s">
        <v>106</v>
      </c>
      <c r="F39" s="247"/>
      <c r="G39" s="247"/>
      <c r="H39" s="132" t="s">
        <v>663</v>
      </c>
      <c r="I39" s="268">
        <f>altitude_p + VLOOKUP(CONCATENATE("R_",LOWER(I37)),R_values,4,FALSE)</f>
        <v>14999999000</v>
      </c>
      <c r="J39" s="249"/>
      <c r="K39" s="248" t="s">
        <v>110</v>
      </c>
      <c r="L39" s="248"/>
      <c r="M39" s="24"/>
      <c r="N39" s="28"/>
      <c r="O39" s="26"/>
      <c r="P39" s="27"/>
      <c r="Q39" s="263" t="s">
        <v>116</v>
      </c>
      <c r="R39" s="263"/>
      <c r="S39" s="263"/>
      <c r="T39" s="263"/>
      <c r="U39" s="263"/>
      <c r="V39" s="263"/>
      <c r="W39" s="16"/>
    </row>
    <row r="40" spans="2:23" ht="18" customHeight="1" x14ac:dyDescent="0.4">
      <c r="B40" s="5"/>
      <c r="C40" s="246" t="s">
        <v>335</v>
      </c>
      <c r="D40" s="246"/>
      <c r="E40" s="247" t="s">
        <v>109</v>
      </c>
      <c r="F40" s="247"/>
      <c r="G40" s="247"/>
      <c r="H40" s="132" t="s">
        <v>663</v>
      </c>
      <c r="I40" s="248">
        <f>velocity_p</f>
        <v>163.01</v>
      </c>
      <c r="J40" s="248"/>
      <c r="K40" s="248" t="s">
        <v>59</v>
      </c>
      <c r="L40" s="248"/>
      <c r="M40" s="28"/>
      <c r="N40" s="28"/>
      <c r="O40" s="28"/>
      <c r="P40" s="27"/>
      <c r="Q40" s="262" t="s">
        <v>157</v>
      </c>
      <c r="R40" s="263"/>
      <c r="S40" s="263"/>
      <c r="T40" s="263"/>
      <c r="U40" s="263"/>
      <c r="V40" s="263"/>
      <c r="W40" s="16"/>
    </row>
    <row r="41" spans="2:23" ht="18" customHeight="1" x14ac:dyDescent="0.4">
      <c r="B41" s="5"/>
      <c r="C41" s="246" t="s">
        <v>333</v>
      </c>
      <c r="D41" s="246"/>
      <c r="E41" s="247" t="s">
        <v>112</v>
      </c>
      <c r="F41" s="247"/>
      <c r="G41" s="247"/>
      <c r="H41" s="132" t="s">
        <v>663</v>
      </c>
      <c r="I41" s="249">
        <f>density_atm_p</f>
        <v>0</v>
      </c>
      <c r="J41" s="248"/>
      <c r="K41" s="248" t="s">
        <v>111</v>
      </c>
      <c r="L41" s="248"/>
      <c r="M41" s="28"/>
      <c r="N41" s="28"/>
      <c r="O41" s="28"/>
      <c r="P41" s="27"/>
      <c r="Q41" s="263" t="s">
        <v>113</v>
      </c>
      <c r="R41" s="263"/>
      <c r="S41" s="263"/>
      <c r="T41" s="263"/>
      <c r="U41" s="263"/>
      <c r="V41" s="263"/>
      <c r="W41" s="16"/>
    </row>
    <row r="42" spans="2:23" ht="18" customHeight="1" x14ac:dyDescent="0.4">
      <c r="B42" s="5"/>
      <c r="C42" s="246" t="s">
        <v>344</v>
      </c>
      <c r="D42" s="246"/>
      <c r="E42" s="250" t="s">
        <v>875</v>
      </c>
      <c r="F42" s="247"/>
      <c r="G42" s="247"/>
      <c r="H42" s="140" t="s">
        <v>663</v>
      </c>
      <c r="I42" s="248">
        <f>irr_max</f>
        <v>1322</v>
      </c>
      <c r="J42" s="248"/>
      <c r="K42" s="248" t="s">
        <v>117</v>
      </c>
      <c r="L42" s="248"/>
      <c r="M42" s="28"/>
      <c r="N42" s="25"/>
      <c r="O42" s="28"/>
      <c r="P42" s="28"/>
      <c r="Q42" s="262" t="s">
        <v>156</v>
      </c>
      <c r="R42" s="263"/>
      <c r="S42" s="263"/>
      <c r="T42" s="263"/>
      <c r="U42" s="263"/>
      <c r="V42" s="263"/>
      <c r="W42" s="16"/>
    </row>
    <row r="43" spans="2:23" ht="18" customHeight="1" x14ac:dyDescent="0.4">
      <c r="B43" s="5"/>
      <c r="C43" s="246" t="s">
        <v>345</v>
      </c>
      <c r="D43" s="246"/>
      <c r="E43" s="267" t="s">
        <v>256</v>
      </c>
      <c r="F43" s="267"/>
      <c r="G43" s="267"/>
      <c r="H43" s="86">
        <v>0</v>
      </c>
      <c r="I43" s="248">
        <f>IF(H43="",IF(LOWER(central_body)="earth",mag_m_earth,mag_m_cb_default),H43)</f>
        <v>0</v>
      </c>
      <c r="J43" s="248"/>
      <c r="K43" s="227" t="s">
        <v>179</v>
      </c>
      <c r="L43" s="248"/>
      <c r="M43" s="28"/>
      <c r="N43" s="28"/>
      <c r="O43" s="26"/>
      <c r="P43" s="28"/>
      <c r="Q43" s="262" t="s">
        <v>178</v>
      </c>
      <c r="R43" s="263"/>
      <c r="S43" s="263"/>
      <c r="T43" s="263"/>
      <c r="U43" s="263"/>
      <c r="V43" s="263"/>
      <c r="W43" s="16"/>
    </row>
    <row r="44" spans="2:23" ht="18" customHeight="1" x14ac:dyDescent="0.4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2:23" ht="18" customHeight="1" x14ac:dyDescent="0.4"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</row>
    <row r="46" spans="2:23" ht="18" customHeight="1" x14ac:dyDescent="0.4"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</row>
    <row r="48" spans="2:23" ht="18" hidden="1" customHeight="1" x14ac:dyDescent="0.4">
      <c r="C48" s="253" t="s">
        <v>126</v>
      </c>
      <c r="D48" s="253"/>
      <c r="E48" s="247" t="s">
        <v>125</v>
      </c>
      <c r="F48" s="247"/>
      <c r="G48" s="247"/>
      <c r="H48" s="34" t="s">
        <v>129</v>
      </c>
      <c r="I48" s="257">
        <v>0</v>
      </c>
      <c r="J48" s="257"/>
      <c r="K48" s="248" t="s">
        <v>110</v>
      </c>
      <c r="L48" s="248"/>
      <c r="M48" s="28"/>
      <c r="N48" s="25"/>
      <c r="O48" s="28"/>
      <c r="P48" s="27"/>
      <c r="Q48" s="264" t="s">
        <v>125</v>
      </c>
      <c r="R48" s="265"/>
      <c r="S48" s="265"/>
      <c r="T48" s="265"/>
      <c r="U48" s="265"/>
      <c r="V48" s="265"/>
    </row>
    <row r="49" spans="3:22" ht="18" hidden="1" customHeight="1" x14ac:dyDescent="0.4">
      <c r="C49" s="253" t="s">
        <v>142</v>
      </c>
      <c r="D49" s="253"/>
      <c r="E49" s="247" t="s">
        <v>148</v>
      </c>
      <c r="F49" s="247"/>
      <c r="G49" s="247"/>
      <c r="H49" s="86"/>
      <c r="I49" s="254">
        <f>IF(H49,H49,0.6)</f>
        <v>0.6</v>
      </c>
      <c r="J49" s="254"/>
      <c r="K49" s="227" t="s">
        <v>110</v>
      </c>
      <c r="L49" s="248"/>
      <c r="M49" s="28"/>
      <c r="N49" s="28"/>
      <c r="O49" s="28"/>
      <c r="P49" s="27"/>
      <c r="Q49" s="264" t="s">
        <v>165</v>
      </c>
      <c r="R49" s="265"/>
      <c r="S49" s="265"/>
      <c r="T49" s="265"/>
      <c r="U49" s="265"/>
      <c r="V49" s="265"/>
    </row>
    <row r="50" spans="3:22" ht="18" hidden="1" customHeight="1" x14ac:dyDescent="0.4">
      <c r="C50" s="253" t="s">
        <v>127</v>
      </c>
      <c r="D50" s="253"/>
      <c r="E50" s="247" t="s">
        <v>147</v>
      </c>
      <c r="F50" s="247"/>
      <c r="G50" s="247"/>
      <c r="H50" s="86"/>
      <c r="I50" s="254">
        <f>IF(H50,H50,0.3)</f>
        <v>0.3</v>
      </c>
      <c r="J50" s="254"/>
      <c r="K50" s="227" t="s">
        <v>110</v>
      </c>
      <c r="L50" s="248"/>
      <c r="M50" s="28"/>
      <c r="N50" s="25"/>
      <c r="O50" s="28"/>
      <c r="P50" s="28"/>
      <c r="Q50" s="264" t="s">
        <v>147</v>
      </c>
      <c r="R50" s="265"/>
      <c r="S50" s="265"/>
      <c r="T50" s="265"/>
      <c r="U50" s="265"/>
      <c r="V50" s="265"/>
    </row>
  </sheetData>
  <sheetProtection selectLockedCells="1"/>
  <mergeCells count="158">
    <mergeCell ref="E12:H12"/>
    <mergeCell ref="E13:H13"/>
    <mergeCell ref="E14:H14"/>
    <mergeCell ref="E15:H15"/>
    <mergeCell ref="I11:J11"/>
    <mergeCell ref="K11:L11"/>
    <mergeCell ref="C16:D16"/>
    <mergeCell ref="E16:H16"/>
    <mergeCell ref="I16:J16"/>
    <mergeCell ref="K16:L16"/>
    <mergeCell ref="I12:J12"/>
    <mergeCell ref="I13:J13"/>
    <mergeCell ref="I14:J14"/>
    <mergeCell ref="I15:J15"/>
    <mergeCell ref="K12:L12"/>
    <mergeCell ref="K13:L13"/>
    <mergeCell ref="K14:L14"/>
    <mergeCell ref="K15:L15"/>
    <mergeCell ref="C12:D12"/>
    <mergeCell ref="C14:D14"/>
    <mergeCell ref="C13:D13"/>
    <mergeCell ref="C15:D15"/>
    <mergeCell ref="E21:G21"/>
    <mergeCell ref="C21:D21"/>
    <mergeCell ref="K21:L21"/>
    <mergeCell ref="K29:L29"/>
    <mergeCell ref="K22:L22"/>
    <mergeCell ref="K27:L27"/>
    <mergeCell ref="K26:L26"/>
    <mergeCell ref="K28:L28"/>
    <mergeCell ref="K25:L25"/>
    <mergeCell ref="C29:D29"/>
    <mergeCell ref="E29:G29"/>
    <mergeCell ref="I21:J21"/>
    <mergeCell ref="C26:D26"/>
    <mergeCell ref="E26:G26"/>
    <mergeCell ref="C27:D27"/>
    <mergeCell ref="E27:G27"/>
    <mergeCell ref="I27:J27"/>
    <mergeCell ref="E24:G24"/>
    <mergeCell ref="E22:G22"/>
    <mergeCell ref="C22:D22"/>
    <mergeCell ref="Q40:V40"/>
    <mergeCell ref="Q41:V41"/>
    <mergeCell ref="Q42:V42"/>
    <mergeCell ref="Q43:V43"/>
    <mergeCell ref="C18:V18"/>
    <mergeCell ref="Q25:V25"/>
    <mergeCell ref="E43:G43"/>
    <mergeCell ref="K43:L43"/>
    <mergeCell ref="I43:J43"/>
    <mergeCell ref="C43:D43"/>
    <mergeCell ref="C41:D41"/>
    <mergeCell ref="E41:G41"/>
    <mergeCell ref="I41:J41"/>
    <mergeCell ref="K41:L41"/>
    <mergeCell ref="Q20:V20"/>
    <mergeCell ref="Q22:V22"/>
    <mergeCell ref="Q21:V21"/>
    <mergeCell ref="C40:D40"/>
    <mergeCell ref="E40:G40"/>
    <mergeCell ref="I39:J39"/>
    <mergeCell ref="I40:J40"/>
    <mergeCell ref="K39:L39"/>
    <mergeCell ref="K40:L40"/>
    <mergeCell ref="Q26:V26"/>
    <mergeCell ref="I20:J20"/>
    <mergeCell ref="K20:L20"/>
    <mergeCell ref="I19:J19"/>
    <mergeCell ref="K19:L19"/>
    <mergeCell ref="Q32:V32"/>
    <mergeCell ref="Q29:V29"/>
    <mergeCell ref="Q31:V31"/>
    <mergeCell ref="Q50:V50"/>
    <mergeCell ref="Q48:V48"/>
    <mergeCell ref="Q23:V23"/>
    <mergeCell ref="Q24:V24"/>
    <mergeCell ref="Q38:V38"/>
    <mergeCell ref="Q39:V39"/>
    <mergeCell ref="Q27:V27"/>
    <mergeCell ref="Q28:V28"/>
    <mergeCell ref="C35:V35"/>
    <mergeCell ref="Q37:V37"/>
    <mergeCell ref="E37:G37"/>
    <mergeCell ref="I31:J31"/>
    <mergeCell ref="C28:D28"/>
    <mergeCell ref="E28:G28"/>
    <mergeCell ref="Q33:V33"/>
    <mergeCell ref="Q30:V30"/>
    <mergeCell ref="Q49:V49"/>
    <mergeCell ref="E48:G48"/>
    <mergeCell ref="I48:J48"/>
    <mergeCell ref="K48:L48"/>
    <mergeCell ref="I24:J24"/>
    <mergeCell ref="K24:L24"/>
    <mergeCell ref="I23:J23"/>
    <mergeCell ref="K23:L23"/>
    <mergeCell ref="I22:J22"/>
    <mergeCell ref="C32:D32"/>
    <mergeCell ref="E32:G32"/>
    <mergeCell ref="C33:D33"/>
    <mergeCell ref="E33:G33"/>
    <mergeCell ref="K38:L38"/>
    <mergeCell ref="C37:D37"/>
    <mergeCell ref="I37:J37"/>
    <mergeCell ref="K37:L37"/>
    <mergeCell ref="I33:J33"/>
    <mergeCell ref="K33:L33"/>
    <mergeCell ref="I32:J32"/>
    <mergeCell ref="K32:L32"/>
    <mergeCell ref="C50:D50"/>
    <mergeCell ref="E50:G50"/>
    <mergeCell ref="K31:L31"/>
    <mergeCell ref="I50:J50"/>
    <mergeCell ref="K50:L50"/>
    <mergeCell ref="C31:D31"/>
    <mergeCell ref="E31:G31"/>
    <mergeCell ref="C49:D49"/>
    <mergeCell ref="E49:G49"/>
    <mergeCell ref="I49:J49"/>
    <mergeCell ref="K49:L49"/>
    <mergeCell ref="E42:G42"/>
    <mergeCell ref="K42:L42"/>
    <mergeCell ref="C42:D42"/>
    <mergeCell ref="I42:J42"/>
    <mergeCell ref="C39:D39"/>
    <mergeCell ref="E39:G39"/>
    <mergeCell ref="C38:D38"/>
    <mergeCell ref="E38:G38"/>
    <mergeCell ref="I38:J38"/>
    <mergeCell ref="C36:G36"/>
    <mergeCell ref="I36:J36"/>
    <mergeCell ref="K36:L36"/>
    <mergeCell ref="C48:D48"/>
    <mergeCell ref="M36:P36"/>
    <mergeCell ref="Q36:V36"/>
    <mergeCell ref="C10:N10"/>
    <mergeCell ref="C11:H11"/>
    <mergeCell ref="G4:P5"/>
    <mergeCell ref="G6:P7"/>
    <mergeCell ref="C30:D30"/>
    <mergeCell ref="E30:G30"/>
    <mergeCell ref="I30:J30"/>
    <mergeCell ref="K30:L30"/>
    <mergeCell ref="C23:D23"/>
    <mergeCell ref="E23:G23"/>
    <mergeCell ref="C24:D24"/>
    <mergeCell ref="I26:J26"/>
    <mergeCell ref="I28:J28"/>
    <mergeCell ref="I29:J29"/>
    <mergeCell ref="C25:D25"/>
    <mergeCell ref="E25:G25"/>
    <mergeCell ref="I25:J25"/>
    <mergeCell ref="M19:P19"/>
    <mergeCell ref="Q19:V19"/>
    <mergeCell ref="C19:G19"/>
    <mergeCell ref="C20:D20"/>
    <mergeCell ref="E20:G20"/>
  </mergeCells>
  <dataValidations xWindow="617" yWindow="715" count="6">
    <dataValidation type="decimal" allowBlank="1" showInputMessage="1" showErrorMessage="1" sqref="I21:J21" xr:uid="{00000000-0002-0000-0B00-000000000000}">
      <formula1>0</formula1>
      <formula2>1</formula2>
    </dataValidation>
    <dataValidation allowBlank="1" showInputMessage="1" showErrorMessage="1" promptTitle="Warning" prompt="Value for Earth: _x000a_7.96E+15 T·m^3 = 7.96E+15 Wb·m_x000a__x000a_Magnetic moment for other _x000a_central planets not added" sqref="I43:J43" xr:uid="{00000000-0002-0000-0B00-000001000000}"/>
    <dataValidation allowBlank="1" showInputMessage="1" showErrorMessage="1" promptTitle="Warning" prompt="Keep blank for default value" sqref="H20 H22:H23" xr:uid="{00000000-0002-0000-0B00-000002000000}"/>
    <dataValidation type="decimal" operator="greaterThanOrEqual" allowBlank="1" showInputMessage="1" showErrorMessage="1" sqref="I41:J41" xr:uid="{00000000-0002-0000-0B00-000003000000}">
      <formula1>0</formula1>
    </dataValidation>
    <dataValidation allowBlank="1" showInputMessage="1" showErrorMessage="1" promptTitle="Warning" prompt="For Earth [ T·m^3 = Wb·m ]_x000a_7.96E+15_x000a__x000a_Magnetic moment for other _x000a_central planets not included._x000a_Default value in that case is 0." sqref="H43" xr:uid="{00000000-0002-0000-0B00-000004000000}"/>
    <dataValidation allowBlank="1" showInputMessage="1" showErrorMessage="1" prompt="Default value is 10% of maximum dimension" sqref="H32:H33" xr:uid="{00000000-0002-0000-0B00-000005000000}"/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>
    <tabColor theme="9" tint="0.39997558519241921"/>
  </sheetPr>
  <dimension ref="B1:V37"/>
  <sheetViews>
    <sheetView zoomScaleNormal="100" workbookViewId="0">
      <pane ySplit="1" topLeftCell="A20" activePane="bottomLeft" state="frozenSplit"/>
      <selection pane="bottomLeft" activeCell="R35" sqref="R35"/>
    </sheetView>
  </sheetViews>
  <sheetFormatPr defaultColWidth="9" defaultRowHeight="18" customHeight="1" x14ac:dyDescent="0.4"/>
  <cols>
    <col min="1" max="16384" width="9" style="4"/>
  </cols>
  <sheetData>
    <row r="1" spans="2:22" ht="15" customHeight="1" x14ac:dyDescent="0.4"/>
    <row r="2" spans="2:22" ht="15" customHeight="1" x14ac:dyDescent="0.4">
      <c r="B2" s="5"/>
      <c r="C2" s="5"/>
      <c r="D2" s="5"/>
      <c r="E2" s="5"/>
      <c r="F2" s="5"/>
      <c r="G2" s="5"/>
      <c r="H2" s="5"/>
      <c r="I2" s="5"/>
      <c r="J2" s="5"/>
      <c r="K2" s="5"/>
      <c r="L2" s="59"/>
      <c r="M2" s="5"/>
      <c r="N2" s="5"/>
      <c r="O2" s="5"/>
      <c r="P2" s="5"/>
      <c r="Q2" s="5"/>
      <c r="R2" s="5"/>
      <c r="S2" s="5"/>
      <c r="T2" s="5"/>
      <c r="U2" s="5"/>
      <c r="V2" s="5"/>
    </row>
    <row r="3" spans="2:22" ht="15" customHeight="1" x14ac:dyDescent="0.4">
      <c r="B3" s="5"/>
      <c r="V3" s="5"/>
    </row>
    <row r="4" spans="2:22" ht="15" customHeight="1" x14ac:dyDescent="0.4">
      <c r="B4" s="5"/>
      <c r="G4" s="199" t="s">
        <v>53</v>
      </c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38"/>
      <c r="S4" s="38"/>
      <c r="T4" s="38"/>
      <c r="V4" s="5"/>
    </row>
    <row r="5" spans="2:22" ht="15" customHeight="1" x14ac:dyDescent="0.4">
      <c r="B5" s="5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38"/>
      <c r="S5" s="38"/>
      <c r="T5" s="38"/>
      <c r="V5" s="5"/>
    </row>
    <row r="6" spans="2:22" ht="15" customHeight="1" x14ac:dyDescent="0.4">
      <c r="B6" s="5"/>
      <c r="G6" s="200" t="s">
        <v>214</v>
      </c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39"/>
      <c r="S6" s="39"/>
      <c r="T6" s="39"/>
      <c r="V6" s="5"/>
    </row>
    <row r="7" spans="2:22" ht="15" customHeight="1" x14ac:dyDescent="0.4">
      <c r="B7" s="5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39"/>
      <c r="S7" s="39"/>
      <c r="T7" s="39"/>
      <c r="V7" s="5"/>
    </row>
    <row r="8" spans="2:22" ht="15" customHeight="1" x14ac:dyDescent="0.4">
      <c r="B8" s="5"/>
      <c r="V8" s="5"/>
    </row>
    <row r="9" spans="2:22" ht="18" customHeight="1" x14ac:dyDescent="0.4">
      <c r="B9" s="5"/>
      <c r="C9" s="5"/>
      <c r="D9" s="5"/>
      <c r="E9" s="5"/>
      <c r="F9" s="5"/>
      <c r="G9" s="5"/>
      <c r="H9" s="5"/>
      <c r="I9" s="5"/>
      <c r="J9" s="5"/>
      <c r="K9" s="5"/>
      <c r="L9" s="59"/>
      <c r="M9" s="5"/>
      <c r="N9" s="5"/>
      <c r="O9" s="5"/>
      <c r="P9" s="5"/>
      <c r="Q9" s="5"/>
      <c r="R9" s="5"/>
      <c r="S9" s="5"/>
      <c r="T9" s="5"/>
      <c r="U9" s="5"/>
      <c r="V9" s="5"/>
    </row>
    <row r="10" spans="2:22" ht="18" customHeight="1" x14ac:dyDescent="0.4">
      <c r="B10" s="59"/>
      <c r="C10" s="223" t="s">
        <v>637</v>
      </c>
      <c r="D10" s="224"/>
      <c r="E10" s="224"/>
      <c r="F10" s="224"/>
      <c r="G10" s="224"/>
      <c r="H10" s="224"/>
      <c r="I10" s="224"/>
      <c r="J10" s="224"/>
      <c r="K10" s="301"/>
      <c r="L10" s="59"/>
      <c r="M10" s="223" t="s">
        <v>177</v>
      </c>
      <c r="N10" s="224"/>
      <c r="O10" s="224"/>
      <c r="P10" s="224"/>
      <c r="Q10" s="224"/>
      <c r="R10" s="224"/>
      <c r="S10" s="224"/>
      <c r="T10" s="224"/>
      <c r="U10" s="301"/>
      <c r="V10" s="59"/>
    </row>
    <row r="11" spans="2:22" ht="18" customHeight="1" x14ac:dyDescent="0.4">
      <c r="B11" s="5"/>
      <c r="C11" s="214" t="s">
        <v>14</v>
      </c>
      <c r="D11" s="215"/>
      <c r="E11" s="215"/>
      <c r="F11" s="215"/>
      <c r="G11" s="216"/>
      <c r="H11" s="64" t="s">
        <v>634</v>
      </c>
      <c r="I11" s="214" t="s">
        <v>36</v>
      </c>
      <c r="J11" s="216"/>
      <c r="K11" s="65" t="s">
        <v>20</v>
      </c>
      <c r="L11" s="59"/>
      <c r="M11" s="214" t="s">
        <v>14</v>
      </c>
      <c r="N11" s="215"/>
      <c r="O11" s="215"/>
      <c r="P11" s="215"/>
      <c r="Q11" s="216"/>
      <c r="R11" s="120" t="s">
        <v>634</v>
      </c>
      <c r="S11" s="214" t="s">
        <v>36</v>
      </c>
      <c r="T11" s="216"/>
      <c r="U11" s="65" t="s">
        <v>20</v>
      </c>
      <c r="V11" s="5"/>
    </row>
    <row r="12" spans="2:22" ht="18" customHeight="1" x14ac:dyDescent="0.4">
      <c r="B12" s="5"/>
      <c r="C12" s="92" t="s">
        <v>320</v>
      </c>
      <c r="D12" s="303" t="s">
        <v>154</v>
      </c>
      <c r="E12" s="304"/>
      <c r="F12" s="304"/>
      <c r="G12" s="305"/>
      <c r="H12" s="76" t="s">
        <v>35</v>
      </c>
      <c r="I12" s="313">
        <f>MAX(I14,I17)</f>
        <v>8.7712057526200102E-5</v>
      </c>
      <c r="J12" s="314"/>
      <c r="K12" s="76" t="s">
        <v>168</v>
      </c>
      <c r="L12" s="59"/>
      <c r="M12" s="92" t="s">
        <v>354</v>
      </c>
      <c r="N12" s="303" t="s">
        <v>212</v>
      </c>
      <c r="O12" s="304"/>
      <c r="P12" s="304"/>
      <c r="Q12" s="305"/>
      <c r="R12" s="76" t="s">
        <v>35</v>
      </c>
      <c r="S12" s="313">
        <f>IFERROR((MAX(S16,S19,S25,S31)),0)</f>
        <v>2.9156086664757668E-8</v>
      </c>
      <c r="T12" s="314"/>
      <c r="U12" s="76" t="s">
        <v>173</v>
      </c>
      <c r="V12" s="16"/>
    </row>
    <row r="13" spans="2:22" ht="18" customHeight="1" x14ac:dyDescent="0.4">
      <c r="B13" s="5"/>
      <c r="C13" s="92" t="s">
        <v>321</v>
      </c>
      <c r="D13" s="303" t="s">
        <v>210</v>
      </c>
      <c r="E13" s="304"/>
      <c r="F13" s="304"/>
      <c r="G13" s="305"/>
      <c r="H13" s="76" t="s">
        <v>35</v>
      </c>
      <c r="I13" s="317">
        <f>disturbance_torque_total*period</f>
        <v>4.5513591387005476</v>
      </c>
      <c r="J13" s="318"/>
      <c r="K13" s="76" t="s">
        <v>209</v>
      </c>
      <c r="L13" s="59"/>
      <c r="M13" s="92" t="s">
        <v>324</v>
      </c>
      <c r="N13" s="303" t="s">
        <v>241</v>
      </c>
      <c r="O13" s="304"/>
      <c r="P13" s="304"/>
      <c r="Q13" s="305"/>
      <c r="R13" s="76" t="s">
        <v>35</v>
      </c>
      <c r="S13" s="306">
        <f>SUM(S24*S23,S30*S29,S34*S33)</f>
        <v>0</v>
      </c>
      <c r="T13" s="307"/>
      <c r="U13" s="76" t="s">
        <v>174</v>
      </c>
      <c r="V13" s="16"/>
    </row>
    <row r="14" spans="2:22" ht="18" customHeight="1" x14ac:dyDescent="0.4">
      <c r="B14" s="5"/>
      <c r="C14" s="225" t="s">
        <v>239</v>
      </c>
      <c r="D14" s="226"/>
      <c r="E14" s="226"/>
      <c r="F14" s="226"/>
      <c r="G14" s="241"/>
      <c r="H14" s="131"/>
      <c r="I14" s="302">
        <f>disturbance_torque_total*(1+rw_sm)</f>
        <v>1.5744286798969142E-8</v>
      </c>
      <c r="J14" s="302"/>
      <c r="K14" s="131" t="s">
        <v>168</v>
      </c>
      <c r="L14" s="59"/>
      <c r="M14" s="92" t="s">
        <v>325</v>
      </c>
      <c r="N14" s="303" t="s">
        <v>237</v>
      </c>
      <c r="O14" s="304"/>
      <c r="P14" s="304"/>
      <c r="Q14" s="305"/>
      <c r="R14" s="84"/>
      <c r="S14" s="308">
        <f>IF(R14&lt;&gt;"",R14,0.45*MAX(N(sat_dim_x),N(sat_dim_y),N(sat_dim_z)))</f>
        <v>0.13500000000000001</v>
      </c>
      <c r="T14" s="309"/>
      <c r="U14" s="76" t="s">
        <v>110</v>
      </c>
      <c r="V14" s="16"/>
    </row>
    <row r="15" spans="2:22" ht="18" customHeight="1" x14ac:dyDescent="0.4">
      <c r="B15" s="5"/>
      <c r="C15" s="93" t="s">
        <v>319</v>
      </c>
      <c r="D15" s="310" t="s">
        <v>211</v>
      </c>
      <c r="E15" s="311"/>
      <c r="F15" s="311"/>
      <c r="G15" s="312"/>
      <c r="H15" s="48" t="s">
        <v>35</v>
      </c>
      <c r="I15" s="315">
        <f>disturbance_torque_total</f>
        <v>7.8721433994845709E-9</v>
      </c>
      <c r="J15" s="316"/>
      <c r="K15" s="48" t="s">
        <v>168</v>
      </c>
      <c r="L15" s="59"/>
      <c r="M15" s="92" t="s">
        <v>173</v>
      </c>
      <c r="N15" s="303" t="s">
        <v>316</v>
      </c>
      <c r="O15" s="304"/>
      <c r="P15" s="304"/>
      <c r="Q15" s="305"/>
      <c r="R15" s="84"/>
      <c r="S15" s="308">
        <f>IF(R15&lt;&gt;"",R15,2)</f>
        <v>2</v>
      </c>
      <c r="T15" s="309"/>
      <c r="U15" s="76"/>
      <c r="V15" s="16"/>
    </row>
    <row r="16" spans="2:22" ht="18" customHeight="1" x14ac:dyDescent="0.4">
      <c r="B16" s="5"/>
      <c r="C16" s="93" t="s">
        <v>170</v>
      </c>
      <c r="D16" s="310" t="s">
        <v>175</v>
      </c>
      <c r="E16" s="311"/>
      <c r="F16" s="311"/>
      <c r="G16" s="312"/>
      <c r="H16" s="83">
        <v>1</v>
      </c>
      <c r="I16" s="323">
        <f>IF(H16&lt;&gt;"",H16,rw_sm_default)</f>
        <v>1</v>
      </c>
      <c r="J16" s="324"/>
      <c r="K16" s="48" t="s">
        <v>35</v>
      </c>
      <c r="L16" s="59"/>
      <c r="M16" s="225" t="s">
        <v>238</v>
      </c>
      <c r="N16" s="226"/>
      <c r="O16" s="226"/>
      <c r="P16" s="226"/>
      <c r="Q16" s="241"/>
      <c r="R16" s="131"/>
      <c r="S16" s="302">
        <f>IF(S18=0,0,disturbance_torque_total/thrusters_num/thrusters_arm_max)</f>
        <v>2.9156086664757668E-8</v>
      </c>
      <c r="T16" s="302"/>
      <c r="U16" s="131" t="s">
        <v>173</v>
      </c>
      <c r="V16" s="16"/>
    </row>
    <row r="17" spans="2:22" ht="18" customHeight="1" x14ac:dyDescent="0.4">
      <c r="B17" s="5"/>
      <c r="C17" s="225" t="s">
        <v>240</v>
      </c>
      <c r="D17" s="226"/>
      <c r="E17" s="226"/>
      <c r="F17" s="226"/>
      <c r="G17" s="241"/>
      <c r="H17" s="131"/>
      <c r="I17" s="302">
        <f>4*I18*DEG2RAD*I19/(I20*60)^2</f>
        <v>8.7712057526200102E-5</v>
      </c>
      <c r="J17" s="302"/>
      <c r="K17" s="131" t="s">
        <v>168</v>
      </c>
      <c r="L17" s="59"/>
      <c r="M17" s="93" t="s">
        <v>319</v>
      </c>
      <c r="N17" s="310" t="s">
        <v>211</v>
      </c>
      <c r="O17" s="311"/>
      <c r="P17" s="311"/>
      <c r="Q17" s="312"/>
      <c r="R17" s="48" t="s">
        <v>35</v>
      </c>
      <c r="S17" s="315">
        <f>disturbance_torque_total</f>
        <v>7.8721433994845709E-9</v>
      </c>
      <c r="T17" s="316"/>
      <c r="U17" s="48" t="s">
        <v>168</v>
      </c>
      <c r="V17" s="16"/>
    </row>
    <row r="18" spans="2:22" ht="18" customHeight="1" x14ac:dyDescent="0.4">
      <c r="B18" s="5"/>
      <c r="C18" s="93" t="s">
        <v>146</v>
      </c>
      <c r="D18" s="310" t="s">
        <v>233</v>
      </c>
      <c r="E18" s="311"/>
      <c r="F18" s="311"/>
      <c r="G18" s="312"/>
      <c r="H18" s="83">
        <v>1</v>
      </c>
      <c r="I18" s="319">
        <f>IF(H18&lt;&gt;"",H18,max_slew_angle_default)</f>
        <v>1</v>
      </c>
      <c r="J18" s="320"/>
      <c r="K18" s="48" t="s">
        <v>124</v>
      </c>
      <c r="L18" s="59"/>
      <c r="M18" s="93" t="s">
        <v>326</v>
      </c>
      <c r="N18" s="310" t="s">
        <v>242</v>
      </c>
      <c r="O18" s="311"/>
      <c r="P18" s="311"/>
      <c r="Q18" s="312"/>
      <c r="R18" s="83">
        <v>100</v>
      </c>
      <c r="S18" s="222">
        <f>IF(R18&lt;&gt;"",R18,1)</f>
        <v>100</v>
      </c>
      <c r="T18" s="219"/>
      <c r="U18" s="54" t="s">
        <v>35</v>
      </c>
      <c r="V18" s="16"/>
    </row>
    <row r="19" spans="2:22" ht="18" customHeight="1" x14ac:dyDescent="0.4">
      <c r="B19" s="5"/>
      <c r="C19" s="93" t="s">
        <v>322</v>
      </c>
      <c r="D19" s="325" t="s">
        <v>306</v>
      </c>
      <c r="E19" s="311"/>
      <c r="F19" s="311"/>
      <c r="G19" s="312"/>
      <c r="H19" s="83" t="s">
        <v>329</v>
      </c>
      <c r="I19" s="315">
        <f>IF(H19&lt;&gt;"",VLOOKUP(H19,'Auxiliar Information'!$N$23:$O$27,2,FALSE),I_max)</f>
        <v>1.24</v>
      </c>
      <c r="J19" s="316"/>
      <c r="K19" s="48" t="s">
        <v>176</v>
      </c>
      <c r="L19" s="59"/>
      <c r="M19" s="225" t="s">
        <v>244</v>
      </c>
      <c r="N19" s="226"/>
      <c r="O19" s="226"/>
      <c r="P19" s="226"/>
      <c r="Q19" s="241"/>
      <c r="R19" s="131"/>
      <c r="S19" s="329">
        <f>IF(S24=0,0,S20*DEG2RAD*S21/thrusters_arm_max/thrusters_num/(S22*60)/S23)</f>
        <v>0</v>
      </c>
      <c r="T19" s="329"/>
      <c r="U19" s="131" t="s">
        <v>173</v>
      </c>
      <c r="V19" s="16"/>
    </row>
    <row r="20" spans="2:22" ht="18" customHeight="1" x14ac:dyDescent="0.4">
      <c r="B20" s="5"/>
      <c r="C20" s="93" t="s">
        <v>327</v>
      </c>
      <c r="D20" s="310" t="s">
        <v>232</v>
      </c>
      <c r="E20" s="311"/>
      <c r="F20" s="311"/>
      <c r="G20" s="312"/>
      <c r="H20" s="83">
        <v>30</v>
      </c>
      <c r="I20" s="326">
        <f>IF(H20&lt;&gt;"",H20,min_slew_man_t_default)</f>
        <v>30</v>
      </c>
      <c r="J20" s="327"/>
      <c r="K20" s="48" t="s">
        <v>250</v>
      </c>
      <c r="L20" s="59"/>
      <c r="M20" s="93" t="s">
        <v>146</v>
      </c>
      <c r="N20" s="310" t="s">
        <v>233</v>
      </c>
      <c r="O20" s="311"/>
      <c r="P20" s="311"/>
      <c r="Q20" s="312"/>
      <c r="R20" s="83"/>
      <c r="S20" s="319">
        <f>IF(R20&lt;&gt;"",R20,max_slew_angle_default)</f>
        <v>90</v>
      </c>
      <c r="T20" s="320"/>
      <c r="U20" s="73" t="s">
        <v>124</v>
      </c>
      <c r="V20" s="16"/>
    </row>
    <row r="21" spans="2:22" ht="18" customHeight="1" x14ac:dyDescent="0.4">
      <c r="B21" s="5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93" t="s">
        <v>322</v>
      </c>
      <c r="N21" s="325" t="s">
        <v>306</v>
      </c>
      <c r="O21" s="311"/>
      <c r="P21" s="311"/>
      <c r="Q21" s="312"/>
      <c r="R21" s="83"/>
      <c r="S21" s="222">
        <f>IF(R21&lt;&gt;"",VLOOKUP(R21,'Auxiliar Information'!$N$23:$O$28,2,FALSE),I_max)</f>
        <v>1.24</v>
      </c>
      <c r="T21" s="219"/>
      <c r="U21" s="73" t="s">
        <v>176</v>
      </c>
      <c r="V21" s="16"/>
    </row>
    <row r="22" spans="2:22" ht="18" customHeight="1" x14ac:dyDescent="0.4">
      <c r="B22" s="5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93" t="s">
        <v>327</v>
      </c>
      <c r="N22" s="310" t="s">
        <v>232</v>
      </c>
      <c r="O22" s="311"/>
      <c r="P22" s="311"/>
      <c r="Q22" s="312"/>
      <c r="R22" s="90">
        <v>10</v>
      </c>
      <c r="S22" s="326">
        <f>IF(R22&lt;&gt;"",R22,min_slew_man_t_default)</f>
        <v>10</v>
      </c>
      <c r="T22" s="327"/>
      <c r="U22" s="73" t="s">
        <v>250</v>
      </c>
      <c r="V22" s="16"/>
    </row>
    <row r="23" spans="2:22" ht="18" customHeight="1" x14ac:dyDescent="0.4">
      <c r="B23" s="5"/>
      <c r="C23" s="223" t="s">
        <v>213</v>
      </c>
      <c r="D23" s="224"/>
      <c r="E23" s="224"/>
      <c r="F23" s="224"/>
      <c r="G23" s="224"/>
      <c r="H23" s="224"/>
      <c r="I23" s="224"/>
      <c r="J23" s="224"/>
      <c r="K23" s="301"/>
      <c r="L23" s="59"/>
      <c r="M23" s="93" t="s">
        <v>324</v>
      </c>
      <c r="N23" s="335" t="s">
        <v>307</v>
      </c>
      <c r="O23" s="336"/>
      <c r="P23" s="336"/>
      <c r="Q23" s="337"/>
      <c r="R23" s="83"/>
      <c r="S23" s="222">
        <f>IF(R23&lt;&gt;"",R23,S22*60*thrusters_tb_slew_rate_default)</f>
        <v>30</v>
      </c>
      <c r="T23" s="219"/>
      <c r="U23" s="74" t="s">
        <v>174</v>
      </c>
      <c r="V23" s="16"/>
    </row>
    <row r="24" spans="2:22" ht="18" customHeight="1" x14ac:dyDescent="0.4">
      <c r="B24" s="5"/>
      <c r="C24" s="214" t="s">
        <v>14</v>
      </c>
      <c r="D24" s="215"/>
      <c r="E24" s="215"/>
      <c r="F24" s="215"/>
      <c r="G24" s="216"/>
      <c r="H24" s="120" t="s">
        <v>634</v>
      </c>
      <c r="I24" s="214" t="s">
        <v>36</v>
      </c>
      <c r="J24" s="216"/>
      <c r="K24" s="121" t="s">
        <v>20</v>
      </c>
      <c r="L24" s="59"/>
      <c r="M24" s="93" t="s">
        <v>326</v>
      </c>
      <c r="N24" s="335" t="s">
        <v>242</v>
      </c>
      <c r="O24" s="336"/>
      <c r="P24" s="336"/>
      <c r="Q24" s="337"/>
      <c r="R24" s="83">
        <v>0</v>
      </c>
      <c r="S24" s="222">
        <f>IF(R24&lt;&gt;"",R24,1)</f>
        <v>0</v>
      </c>
      <c r="T24" s="219"/>
      <c r="U24" s="54" t="s">
        <v>35</v>
      </c>
      <c r="V24" s="16"/>
    </row>
    <row r="25" spans="2:22" ht="18" customHeight="1" x14ac:dyDescent="0.4">
      <c r="B25" s="5"/>
      <c r="C25" s="92" t="s">
        <v>641</v>
      </c>
      <c r="D25" s="303" t="s">
        <v>235</v>
      </c>
      <c r="E25" s="304"/>
      <c r="F25" s="304"/>
      <c r="G25" s="305"/>
      <c r="H25" s="76" t="s">
        <v>35</v>
      </c>
      <c r="I25" s="321">
        <f>IF(magnetic_moment_central_body&lt;&gt;0,disturbance_torque_total*(radius_p^3)/2/magnetic_moment_central_body,0)</f>
        <v>0</v>
      </c>
      <c r="J25" s="322"/>
      <c r="K25" s="76" t="s">
        <v>180</v>
      </c>
      <c r="L25" s="59"/>
      <c r="M25" s="225" t="s">
        <v>243</v>
      </c>
      <c r="N25" s="226"/>
      <c r="O25" s="226"/>
      <c r="P25" s="226"/>
      <c r="Q25" s="241"/>
      <c r="R25" s="131"/>
      <c r="S25" s="302">
        <f>IF(S30=0,0,S26*S27*S28*60/S29/thrusters_num/thrusters_arm_max)</f>
        <v>0</v>
      </c>
      <c r="T25" s="302"/>
      <c r="U25" s="131" t="s">
        <v>173</v>
      </c>
      <c r="V25" s="16"/>
    </row>
    <row r="26" spans="2:22" ht="18" customHeight="1" x14ac:dyDescent="0.4">
      <c r="B26" s="5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93" t="s">
        <v>265</v>
      </c>
      <c r="N26" s="325" t="s">
        <v>308</v>
      </c>
      <c r="O26" s="311"/>
      <c r="P26" s="311"/>
      <c r="Q26" s="312"/>
      <c r="R26" s="74" t="s">
        <v>35</v>
      </c>
      <c r="S26" s="222">
        <f>I30</f>
        <v>1.3739482151014504E-11</v>
      </c>
      <c r="T26" s="219"/>
      <c r="U26" s="73" t="s">
        <v>209</v>
      </c>
      <c r="V26" s="16"/>
    </row>
    <row r="27" spans="2:22" ht="18" customHeight="1" x14ac:dyDescent="0.4">
      <c r="B27" s="5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93" t="s">
        <v>353</v>
      </c>
      <c r="N27" s="335" t="s">
        <v>309</v>
      </c>
      <c r="O27" s="336"/>
      <c r="P27" s="336"/>
      <c r="Q27" s="337"/>
      <c r="R27" s="83"/>
      <c r="S27" s="222">
        <f>IF(R27&lt;&gt;"",R27,thrusters_slew_rate_default)</f>
        <v>10</v>
      </c>
      <c r="T27" s="219"/>
      <c r="U27" s="74" t="s">
        <v>216</v>
      </c>
      <c r="V27" s="16"/>
    </row>
    <row r="28" spans="2:22" ht="18" customHeight="1" x14ac:dyDescent="0.4">
      <c r="B28" s="5"/>
      <c r="C28" s="223" t="s">
        <v>638</v>
      </c>
      <c r="D28" s="224"/>
      <c r="E28" s="224"/>
      <c r="F28" s="224"/>
      <c r="G28" s="224"/>
      <c r="H28" s="224"/>
      <c r="I28" s="224"/>
      <c r="J28" s="224"/>
      <c r="K28" s="301"/>
      <c r="L28" s="59"/>
      <c r="M28" s="93" t="s">
        <v>327</v>
      </c>
      <c r="N28" s="325" t="s">
        <v>310</v>
      </c>
      <c r="O28" s="311"/>
      <c r="P28" s="311"/>
      <c r="Q28" s="312"/>
      <c r="R28" s="83"/>
      <c r="S28" s="326">
        <f>IF(R28&lt;&gt;"",R28,min_slew_man_t_default)</f>
        <v>1</v>
      </c>
      <c r="T28" s="327"/>
      <c r="U28" s="73" t="s">
        <v>250</v>
      </c>
      <c r="V28" s="5"/>
    </row>
    <row r="29" spans="2:22" ht="18" customHeight="1" x14ac:dyDescent="0.4">
      <c r="B29" s="5"/>
      <c r="C29" s="214" t="s">
        <v>14</v>
      </c>
      <c r="D29" s="215"/>
      <c r="E29" s="215"/>
      <c r="F29" s="215"/>
      <c r="G29" s="216"/>
      <c r="H29" s="120" t="s">
        <v>634</v>
      </c>
      <c r="I29" s="214" t="s">
        <v>36</v>
      </c>
      <c r="J29" s="216"/>
      <c r="K29" s="121" t="s">
        <v>20</v>
      </c>
      <c r="L29" s="59"/>
      <c r="M29" s="93" t="s">
        <v>324</v>
      </c>
      <c r="N29" s="335" t="s">
        <v>307</v>
      </c>
      <c r="O29" s="336"/>
      <c r="P29" s="336"/>
      <c r="Q29" s="337"/>
      <c r="R29" s="83"/>
      <c r="S29" s="222">
        <f>IF(R29&lt;&gt;"",R29,S28*60*thrusters_tb_slew_rate_default)</f>
        <v>3</v>
      </c>
      <c r="T29" s="219"/>
      <c r="U29" s="74" t="s">
        <v>174</v>
      </c>
      <c r="V29" s="5"/>
    </row>
    <row r="30" spans="2:22" ht="18" customHeight="1" x14ac:dyDescent="0.4">
      <c r="B30" s="5"/>
      <c r="C30" s="93" t="s">
        <v>265</v>
      </c>
      <c r="D30" s="332" t="s">
        <v>348</v>
      </c>
      <c r="E30" s="333"/>
      <c r="F30" s="333"/>
      <c r="G30" s="334"/>
      <c r="H30" s="122" t="s">
        <v>35</v>
      </c>
      <c r="I30" s="330">
        <f>I14/(4*DEG2RAD*I31)</f>
        <v>1.3739482151014504E-11</v>
      </c>
      <c r="J30" s="331"/>
      <c r="K30" s="122" t="s">
        <v>209</v>
      </c>
      <c r="L30" s="59"/>
      <c r="M30" s="93" t="s">
        <v>326</v>
      </c>
      <c r="N30" s="335" t="s">
        <v>242</v>
      </c>
      <c r="O30" s="336"/>
      <c r="P30" s="336"/>
      <c r="Q30" s="337"/>
      <c r="R30" s="83">
        <v>0</v>
      </c>
      <c r="S30" s="222">
        <f>IF(R30&lt;&gt;"",R30,1)</f>
        <v>0</v>
      </c>
      <c r="T30" s="219"/>
      <c r="U30" s="74" t="s">
        <v>35</v>
      </c>
      <c r="V30" s="5"/>
    </row>
    <row r="31" spans="2:22" ht="18" customHeight="1" x14ac:dyDescent="0.4">
      <c r="B31" s="5"/>
      <c r="C31" s="93" t="s">
        <v>328</v>
      </c>
      <c r="D31" s="310" t="s">
        <v>234</v>
      </c>
      <c r="E31" s="311"/>
      <c r="F31" s="311"/>
      <c r="G31" s="312"/>
      <c r="H31" s="83"/>
      <c r="I31" s="326">
        <f>IF(H31&lt;&gt;"",H31,mw_max_deviation_angle_default)</f>
        <v>5</v>
      </c>
      <c r="J31" s="327"/>
      <c r="K31" s="48" t="s">
        <v>124</v>
      </c>
      <c r="L31" s="59"/>
      <c r="M31" s="225" t="s">
        <v>245</v>
      </c>
      <c r="N31" s="226"/>
      <c r="O31" s="226"/>
      <c r="P31" s="226"/>
      <c r="Q31" s="241"/>
      <c r="R31" s="131"/>
      <c r="S31" s="329">
        <f>IF(S34=0,0,S32/thrusters_num/thrusters_arm_max/S33)</f>
        <v>0</v>
      </c>
      <c r="T31" s="329"/>
      <c r="U31" s="131" t="s">
        <v>173</v>
      </c>
      <c r="V31" s="5"/>
    </row>
    <row r="32" spans="2:22" ht="18" customHeight="1" x14ac:dyDescent="0.4">
      <c r="B32" s="5"/>
      <c r="C32" s="93" t="s">
        <v>323</v>
      </c>
      <c r="D32" s="310" t="s">
        <v>268</v>
      </c>
      <c r="E32" s="311"/>
      <c r="F32" s="311"/>
      <c r="G32" s="312"/>
      <c r="H32" s="83"/>
      <c r="I32" s="326">
        <f>IF(H32&lt;&gt;"",H32,mw_angular_vel_default)</f>
        <v>1000</v>
      </c>
      <c r="J32" s="327"/>
      <c r="K32" s="48" t="s">
        <v>269</v>
      </c>
      <c r="L32" s="59"/>
      <c r="M32" s="93" t="s">
        <v>321</v>
      </c>
      <c r="N32" s="310" t="s">
        <v>247</v>
      </c>
      <c r="O32" s="311"/>
      <c r="P32" s="311"/>
      <c r="Q32" s="312"/>
      <c r="R32" s="85" t="s">
        <v>313</v>
      </c>
      <c r="S32" s="328">
        <f>IF(R32="Estimated",I13,Actuators!S14)</f>
        <v>50</v>
      </c>
      <c r="T32" s="219"/>
      <c r="U32" s="49" t="s">
        <v>209</v>
      </c>
      <c r="V32" s="5"/>
    </row>
    <row r="33" spans="2:22" ht="18" customHeight="1" x14ac:dyDescent="0.4">
      <c r="B33" s="5"/>
      <c r="C33" s="93" t="s">
        <v>632</v>
      </c>
      <c r="D33" s="310" t="s">
        <v>267</v>
      </c>
      <c r="E33" s="311"/>
      <c r="F33" s="311"/>
      <c r="G33" s="312"/>
      <c r="H33" s="83"/>
      <c r="I33" s="338">
        <f>IF(H34&lt;&gt;"",SQRT(2*I30/(I32*RPM2RADS*I34)),H33)</f>
        <v>0</v>
      </c>
      <c r="J33" s="339"/>
      <c r="K33" s="48" t="s">
        <v>110</v>
      </c>
      <c r="L33" s="59"/>
      <c r="M33" s="93" t="s">
        <v>324</v>
      </c>
      <c r="N33" s="310" t="s">
        <v>246</v>
      </c>
      <c r="O33" s="311"/>
      <c r="P33" s="311"/>
      <c r="Q33" s="312"/>
      <c r="R33" s="83">
        <v>300</v>
      </c>
      <c r="S33" s="326">
        <f>IF(R33&lt;&gt;"",R33,thrusters_desaturation_t_b_default)</f>
        <v>300</v>
      </c>
      <c r="T33" s="327"/>
      <c r="U33" s="48" t="s">
        <v>174</v>
      </c>
      <c r="V33" s="5"/>
    </row>
    <row r="34" spans="2:22" ht="18" customHeight="1" x14ac:dyDescent="0.4">
      <c r="B34" s="59"/>
      <c r="C34" s="93" t="s">
        <v>633</v>
      </c>
      <c r="D34" s="310" t="s">
        <v>266</v>
      </c>
      <c r="E34" s="311"/>
      <c r="F34" s="311"/>
      <c r="G34" s="312"/>
      <c r="H34" s="83"/>
      <c r="I34" s="326">
        <f>IF(H33&lt;&gt;"",2*I30/(I32*RPM2RADS*I33^2),H34)</f>
        <v>0</v>
      </c>
      <c r="J34" s="327"/>
      <c r="K34" s="48" t="s">
        <v>172</v>
      </c>
      <c r="L34" s="59"/>
      <c r="M34" s="93" t="s">
        <v>326</v>
      </c>
      <c r="N34" s="310" t="s">
        <v>242</v>
      </c>
      <c r="O34" s="311"/>
      <c r="P34" s="311"/>
      <c r="Q34" s="312"/>
      <c r="R34" s="83">
        <v>0</v>
      </c>
      <c r="S34" s="222">
        <f>IF(R34&lt;&gt;"",R34,1)</f>
        <v>0</v>
      </c>
      <c r="T34" s="219"/>
      <c r="U34" s="54" t="s">
        <v>35</v>
      </c>
      <c r="V34" s="5"/>
    </row>
    <row r="35" spans="2:22" ht="18" customHeight="1" x14ac:dyDescent="0.4"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</row>
    <row r="36" spans="2:22" ht="18" customHeight="1" x14ac:dyDescent="0.4"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</row>
    <row r="37" spans="2:22" ht="18" customHeight="1" x14ac:dyDescent="0.4"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</row>
  </sheetData>
  <sheetProtection selectLockedCells="1"/>
  <mergeCells count="90">
    <mergeCell ref="M19:Q19"/>
    <mergeCell ref="M16:Q16"/>
    <mergeCell ref="S17:T17"/>
    <mergeCell ref="S18:T18"/>
    <mergeCell ref="S19:T19"/>
    <mergeCell ref="S24:T24"/>
    <mergeCell ref="S25:T25"/>
    <mergeCell ref="N27:Q27"/>
    <mergeCell ref="S20:T20"/>
    <mergeCell ref="N21:Q21"/>
    <mergeCell ref="S21:T21"/>
    <mergeCell ref="S22:T22"/>
    <mergeCell ref="N24:Q24"/>
    <mergeCell ref="S23:T23"/>
    <mergeCell ref="M25:Q25"/>
    <mergeCell ref="S27:T27"/>
    <mergeCell ref="N26:Q26"/>
    <mergeCell ref="S26:T26"/>
    <mergeCell ref="N20:Q20"/>
    <mergeCell ref="N23:Q23"/>
    <mergeCell ref="N22:Q22"/>
    <mergeCell ref="S29:T29"/>
    <mergeCell ref="C28:K28"/>
    <mergeCell ref="C29:G29"/>
    <mergeCell ref="I29:J29"/>
    <mergeCell ref="S28:T28"/>
    <mergeCell ref="N28:Q28"/>
    <mergeCell ref="N29:Q29"/>
    <mergeCell ref="S34:T34"/>
    <mergeCell ref="D33:G33"/>
    <mergeCell ref="I33:J33"/>
    <mergeCell ref="I34:J34"/>
    <mergeCell ref="D32:G32"/>
    <mergeCell ref="N33:Q33"/>
    <mergeCell ref="S33:T33"/>
    <mergeCell ref="N32:Q32"/>
    <mergeCell ref="D34:G34"/>
    <mergeCell ref="N34:Q34"/>
    <mergeCell ref="S30:T30"/>
    <mergeCell ref="I31:J31"/>
    <mergeCell ref="D31:G31"/>
    <mergeCell ref="S32:T32"/>
    <mergeCell ref="S31:T31"/>
    <mergeCell ref="M31:Q31"/>
    <mergeCell ref="I30:J30"/>
    <mergeCell ref="D30:G30"/>
    <mergeCell ref="I32:J32"/>
    <mergeCell ref="N30:Q30"/>
    <mergeCell ref="D25:G25"/>
    <mergeCell ref="I25:J25"/>
    <mergeCell ref="D18:G18"/>
    <mergeCell ref="D16:G16"/>
    <mergeCell ref="C17:G17"/>
    <mergeCell ref="I16:J16"/>
    <mergeCell ref="I17:J17"/>
    <mergeCell ref="I24:J24"/>
    <mergeCell ref="C23:K23"/>
    <mergeCell ref="I19:J19"/>
    <mergeCell ref="D19:G19"/>
    <mergeCell ref="C24:G24"/>
    <mergeCell ref="I20:J20"/>
    <mergeCell ref="D20:G20"/>
    <mergeCell ref="D15:G15"/>
    <mergeCell ref="D13:G13"/>
    <mergeCell ref="S12:T12"/>
    <mergeCell ref="N17:Q17"/>
    <mergeCell ref="N18:Q18"/>
    <mergeCell ref="I15:J15"/>
    <mergeCell ref="S16:T16"/>
    <mergeCell ref="N15:Q15"/>
    <mergeCell ref="C14:G14"/>
    <mergeCell ref="I13:J13"/>
    <mergeCell ref="D12:G12"/>
    <mergeCell ref="I12:J12"/>
    <mergeCell ref="I18:J18"/>
    <mergeCell ref="S15:T15"/>
    <mergeCell ref="G4:Q5"/>
    <mergeCell ref="G6:Q7"/>
    <mergeCell ref="C10:K10"/>
    <mergeCell ref="M10:U10"/>
    <mergeCell ref="I14:J14"/>
    <mergeCell ref="N12:Q12"/>
    <mergeCell ref="N13:Q13"/>
    <mergeCell ref="S13:T13"/>
    <mergeCell ref="N14:Q14"/>
    <mergeCell ref="S14:T14"/>
    <mergeCell ref="S11:T11"/>
    <mergeCell ref="C11:G11"/>
    <mergeCell ref="I11:J11"/>
    <mergeCell ref="M11:Q11"/>
  </mergeCells>
  <dataValidations count="12">
    <dataValidation type="decimal" allowBlank="1" showInputMessage="1" showErrorMessage="1" errorTitle="Value not in valid range" error="Insert value between 0% and 100%" promptTitle="Typical Value" prompt="Around 20%_x000a__x000a_Ref: [SMAD]" sqref="I16:J16" xr:uid="{00000000-0002-0000-0C00-000000000000}">
      <formula1>0</formula1>
      <formula2>1</formula2>
    </dataValidation>
    <dataValidation type="decimal" allowBlank="1" showInputMessage="1" showErrorMessage="1" prompt="Keep blank for default value (20%)" sqref="H16" xr:uid="{00000000-0002-0000-0C00-000001000000}">
      <formula1>0</formula1>
      <formula2>1</formula2>
    </dataValidation>
    <dataValidation type="decimal" allowBlank="1" showInputMessage="1" showErrorMessage="1" errorTitle="No válido" error="Ponlo bien coño!" sqref="I18:J18 S20:T20" xr:uid="{00000000-0002-0000-0C00-000002000000}">
      <formula1>-0.1</formula1>
      <formula2>360.1</formula2>
    </dataValidation>
    <dataValidation type="decimal" errorStyle="warning" allowBlank="1" showInputMessage="1" showErrorMessage="1" errorTitle="Value out of range" error="Value out of range = [ 0 , 360 ] deg" prompt="Keep blank for default value" sqref="R20 H18" xr:uid="{00000000-0002-0000-0C00-000003000000}">
      <formula1>-0.001</formula1>
      <formula2>360.001</formula2>
    </dataValidation>
    <dataValidation type="decimal" operator="greaterThanOrEqual" allowBlank="1" showInputMessage="1" showErrorMessage="1" promptTitle="Warning" prompt="No default value_x000a__x000a_Insert value in wheel radius or mass" sqref="H33:H34" xr:uid="{00000000-0002-0000-0C00-000004000000}">
      <formula1>0</formula1>
    </dataValidation>
    <dataValidation type="decimal" operator="greaterThanOrEqual" allowBlank="1" showInputMessage="1" showErrorMessage="1" prompt="Keep blank for default value:_x000a_5% of minimum slew _x000a_manoeuvre duration_x000a__x000a_" sqref="R29 R23" xr:uid="{00000000-0002-0000-0C00-000005000000}">
      <formula1>0</formula1>
    </dataValidation>
    <dataValidation allowBlank="1" showInputMessage="1" showErrorMessage="1" prompt="Keep blank for default value" sqref="R27 H31" xr:uid="{00000000-0002-0000-0C00-000006000000}"/>
    <dataValidation type="whole" operator="greaterThanOrEqual" allowBlank="1" showInputMessage="1" showErrorMessage="1" prompt="Keep blank for default value (2)_x000a__x000a_Should be an even number_x000a_(thrusters go in pairs)" sqref="R15" xr:uid="{00000000-0002-0000-0C00-000007000000}">
      <formula1>0</formula1>
    </dataValidation>
    <dataValidation type="whole" operator="greaterThanOrEqual" allowBlank="1" showInputMessage="1" showErrorMessage="1" prompt="Keep blank for default value" sqref="R30 R18 R24 R34" xr:uid="{00000000-0002-0000-0C00-000008000000}">
      <formula1>0</formula1>
    </dataValidation>
    <dataValidation type="decimal" operator="greaterThanOrEqual" allowBlank="1" showInputMessage="1" showErrorMessage="1" prompt="Default value is half of 90% of maximum dimension of satellite" sqref="R14" xr:uid="{00000000-0002-0000-0C00-000009000000}">
      <formula1>0</formula1>
    </dataValidation>
    <dataValidation type="decimal" operator="greaterThanOrEqual" allowBlank="1" showInputMessage="1" showErrorMessage="1" sqref="H20" xr:uid="{00000000-0002-0000-0C00-00000A000000}">
      <formula1>0</formula1>
    </dataValidation>
    <dataValidation type="decimal" operator="greaterThanOrEqual" allowBlank="1" showInputMessage="1" showErrorMessage="1" prompt="Keep blank for default value" sqref="H32 R22 R28 R33" xr:uid="{00000000-0002-0000-0C00-00000B000000}">
      <formula1>0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Keep blank for default value _x000a_(maximum moment of inertia)" xr:uid="{00000000-0002-0000-0C00-00000C000000}">
          <x14:formula1>
            <xm:f>'Auxiliar Information'!$N$23:$N$28</xm:f>
          </x14:formula1>
          <xm:sqref>R21 H19</xm:sqref>
        </x14:dataValidation>
        <x14:dataValidation type="list" allowBlank="1" showInputMessage="1" showErrorMessage="1" xr:uid="{00000000-0002-0000-0C00-00000D000000}">
          <x14:formula1>
            <xm:f>'Auxiliar Information'!$Q$23:$Q$24</xm:f>
          </x14:formula1>
          <xm:sqref>R32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5" tint="0.39997558519241921"/>
  </sheetPr>
  <dimension ref="B2:U28"/>
  <sheetViews>
    <sheetView zoomScaleNormal="100" workbookViewId="0">
      <selection activeCell="E17" sqref="E17"/>
    </sheetView>
  </sheetViews>
  <sheetFormatPr defaultColWidth="9" defaultRowHeight="18" customHeight="1" x14ac:dyDescent="0.4"/>
  <cols>
    <col min="1" max="6" width="9" style="4"/>
    <col min="7" max="7" width="9.59765625" style="4" customWidth="1"/>
    <col min="8" max="16384" width="9" style="4"/>
  </cols>
  <sheetData>
    <row r="2" spans="2:21" ht="18" customHeight="1" x14ac:dyDescent="0.4"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</row>
    <row r="3" spans="2:21" ht="18" customHeight="1" x14ac:dyDescent="0.4">
      <c r="B3" s="59"/>
      <c r="U3" s="59"/>
    </row>
    <row r="4" spans="2:21" ht="15" customHeight="1" x14ac:dyDescent="0.4">
      <c r="B4" s="59"/>
      <c r="G4" s="199" t="s">
        <v>53</v>
      </c>
      <c r="H4" s="199"/>
      <c r="I4" s="199"/>
      <c r="J4" s="199"/>
      <c r="K4" s="199"/>
      <c r="L4" s="199"/>
      <c r="M4" s="199"/>
      <c r="N4" s="199"/>
      <c r="O4" s="199"/>
      <c r="P4" s="199"/>
      <c r="Q4" s="38"/>
      <c r="U4" s="59"/>
    </row>
    <row r="5" spans="2:21" ht="15" customHeight="1" x14ac:dyDescent="0.4">
      <c r="B5" s="5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38"/>
      <c r="U5" s="59"/>
    </row>
    <row r="6" spans="2:21" ht="15" customHeight="1" x14ac:dyDescent="0.4">
      <c r="B6" s="59"/>
      <c r="G6" s="200" t="s">
        <v>249</v>
      </c>
      <c r="H6" s="200"/>
      <c r="I6" s="200"/>
      <c r="J6" s="200"/>
      <c r="K6" s="200"/>
      <c r="L6" s="200"/>
      <c r="M6" s="200"/>
      <c r="N6" s="200"/>
      <c r="O6" s="200"/>
      <c r="P6" s="200"/>
      <c r="Q6" s="39"/>
      <c r="U6" s="59"/>
    </row>
    <row r="7" spans="2:21" ht="15" customHeight="1" x14ac:dyDescent="0.4">
      <c r="B7" s="59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39"/>
      <c r="U7" s="59"/>
    </row>
    <row r="8" spans="2:21" ht="15" customHeight="1" x14ac:dyDescent="0.4">
      <c r="B8" s="59"/>
      <c r="U8" s="59"/>
    </row>
    <row r="9" spans="2:21" ht="18" customHeight="1" x14ac:dyDescent="0.4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16"/>
      <c r="R9" s="16"/>
      <c r="S9" s="16"/>
      <c r="T9" s="16"/>
      <c r="U9" s="16"/>
    </row>
    <row r="10" spans="2:21" ht="18" customHeight="1" x14ac:dyDescent="0.4">
      <c r="B10" s="5"/>
      <c r="C10" s="349" t="s">
        <v>282</v>
      </c>
      <c r="D10" s="349"/>
      <c r="E10" s="108" t="s">
        <v>202</v>
      </c>
      <c r="F10" s="108" t="s">
        <v>271</v>
      </c>
      <c r="G10" s="108" t="s">
        <v>191</v>
      </c>
      <c r="H10" s="108" t="s">
        <v>192</v>
      </c>
      <c r="I10" s="108" t="s">
        <v>292</v>
      </c>
      <c r="J10" s="109" t="s">
        <v>294</v>
      </c>
      <c r="K10" s="109" t="s">
        <v>293</v>
      </c>
      <c r="L10" s="108" t="s">
        <v>611</v>
      </c>
      <c r="M10" s="108" t="s">
        <v>612</v>
      </c>
      <c r="N10" s="108" t="s">
        <v>608</v>
      </c>
      <c r="O10" s="108" t="s">
        <v>609</v>
      </c>
      <c r="P10" s="108" t="s">
        <v>610</v>
      </c>
      <c r="Q10" s="128"/>
      <c r="R10" s="128"/>
      <c r="S10" s="128"/>
      <c r="T10" s="128"/>
      <c r="U10" s="16"/>
    </row>
    <row r="11" spans="2:21" ht="18" customHeight="1" x14ac:dyDescent="0.4">
      <c r="B11" s="5"/>
      <c r="C11" s="263" t="s">
        <v>35</v>
      </c>
      <c r="D11" s="263"/>
      <c r="E11" s="106" t="s">
        <v>35</v>
      </c>
      <c r="F11" s="106" t="s">
        <v>35</v>
      </c>
      <c r="G11" s="106" t="s">
        <v>172</v>
      </c>
      <c r="H11" s="106" t="s">
        <v>41</v>
      </c>
      <c r="I11" s="106" t="s">
        <v>35</v>
      </c>
      <c r="J11" s="106" t="s">
        <v>172</v>
      </c>
      <c r="K11" s="106" t="s">
        <v>41</v>
      </c>
      <c r="L11" s="106" t="s">
        <v>184</v>
      </c>
      <c r="M11" s="106" t="s">
        <v>184</v>
      </c>
      <c r="N11" s="106" t="s">
        <v>281</v>
      </c>
      <c r="O11" s="106" t="s">
        <v>281</v>
      </c>
      <c r="P11" s="106" t="s">
        <v>281</v>
      </c>
      <c r="Q11" s="128"/>
      <c r="R11" s="128"/>
      <c r="S11" s="128"/>
      <c r="T11" s="128"/>
      <c r="U11" s="16"/>
    </row>
    <row r="12" spans="2:21" ht="18" customHeight="1" x14ac:dyDescent="0.4">
      <c r="B12" s="5"/>
      <c r="C12" s="340" t="s">
        <v>286</v>
      </c>
      <c r="D12" s="341"/>
      <c r="E12" s="346" t="str">
        <f>IF(AND(E14&lt;&gt;"-",F14&lt;&gt;"-"),CONCATENATE(E14," (from: ",F14,")"),"-")</f>
        <v>RWP050 (from: Blue Canyon Technologies)</v>
      </c>
      <c r="F12" s="347"/>
      <c r="G12" s="347"/>
      <c r="H12" s="347"/>
      <c r="I12" s="347"/>
      <c r="J12" s="347"/>
      <c r="K12" s="347"/>
      <c r="L12" s="347"/>
      <c r="M12" s="347"/>
      <c r="N12" s="347"/>
      <c r="O12" s="347"/>
      <c r="P12" s="348"/>
      <c r="Q12" s="111" t="s">
        <v>631</v>
      </c>
      <c r="R12" s="112" t="s">
        <v>613</v>
      </c>
      <c r="S12" s="113" t="s">
        <v>614</v>
      </c>
      <c r="T12" s="128"/>
      <c r="U12" s="16"/>
    </row>
    <row r="13" spans="2:21" ht="18" customHeight="1" x14ac:dyDescent="0.4">
      <c r="B13" s="5"/>
      <c r="C13" s="342"/>
      <c r="D13" s="343"/>
      <c r="E13" s="350"/>
      <c r="F13" s="351"/>
      <c r="G13" s="351"/>
      <c r="H13" s="351"/>
      <c r="I13" s="351"/>
      <c r="J13" s="351"/>
      <c r="K13" s="351"/>
      <c r="L13" s="351"/>
      <c r="M13" s="351"/>
      <c r="N13" s="351"/>
      <c r="O13" s="351"/>
      <c r="P13" s="352"/>
      <c r="Q13" s="105"/>
      <c r="R13" s="105"/>
      <c r="S13" s="105"/>
      <c r="T13" s="129"/>
      <c r="U13" s="16"/>
    </row>
    <row r="14" spans="2:21" ht="18" customHeight="1" x14ac:dyDescent="0.4">
      <c r="B14" s="5"/>
      <c r="C14" s="344"/>
      <c r="D14" s="345"/>
      <c r="E14" s="110" t="str">
        <f>IFERROR(VLOOKUP(LOWER($C12),Model!$C$2:$BC$100,   MATCH(   VLOOKUP(E$10,aux_fields,2,FALSE),      Model!$C$1:$BC$1,0),   FALSE),"-")</f>
        <v>RWP050</v>
      </c>
      <c r="F14" s="110" t="str">
        <f>IFERROR(VLOOKUP(LOWER($C12),Model!$C$2:$BC$100,   MATCH(   VLOOKUP(F$10,aux_fields,2,FALSE),      Model!$C$1:$BC$1,0),   FALSE),"-")</f>
        <v>Blue Canyon Technologies</v>
      </c>
      <c r="G14" s="106">
        <f>IFERROR(VLOOKUP(LOWER($C12),Model!$C$2:$BC$100,   MATCH(   VLOOKUP(G$10,aux_fields,2,FALSE),      Model!$C$1:$BC$1,0),   FALSE),"-")</f>
        <v>0.24</v>
      </c>
      <c r="H14" s="106">
        <f>IFERROR(VLOOKUP(LOWER($C12),Model!$C$2:$BC$100,   MATCH(   VLOOKUP(H$10,aux_fields,2,FALSE),      Model!$C$1:$BC$1,0),   FALSE),"-")</f>
        <v>1</v>
      </c>
      <c r="I14" s="106">
        <f>IFERROR(VLOOKUP(LOWER($C12),Model!$C$2:$BC$100,   MATCH(   VLOOKUP(I$10,aux_fields,2,FALSE),      Model!$C$1:$BC$1,0),   FALSE),"-")</f>
        <v>4</v>
      </c>
      <c r="J14" s="106">
        <f>IFERROR(G14*$I14,"-")</f>
        <v>0.96</v>
      </c>
      <c r="K14" s="106">
        <f>IFERROR(H14*$I14,"-")</f>
        <v>4</v>
      </c>
      <c r="L14" s="106">
        <f>IFERROR(VLOOKUP(LOWER($C12),Model!$C$2:$BC$100,   MATCH(   VLOOKUP(L$10,aux_fields,2,FALSE),      Model!$C$1:$BC$1,0),   FALSE),"-")</f>
        <v>0</v>
      </c>
      <c r="M14" s="106">
        <f>IFERROR(VLOOKUP(LOWER($C12),Model!$C$2:$BC$100,   MATCH(   VLOOKUP(M$10,aux_fields,2,FALSE),      Model!$C$1:$BC$1,0),   FALSE),"-")</f>
        <v>0</v>
      </c>
      <c r="N14" s="106">
        <f>IFERROR(VLOOKUP(LOWER($C12),Model!$C$2:$BC$100,   MATCH(   VLOOKUP(N$10,aux_fields,2,FALSE),      Model!$C$1:$BC$1,0),   FALSE),"-")</f>
        <v>58</v>
      </c>
      <c r="O14" s="106">
        <f>IFERROR(VLOOKUP(LOWER($C12),Model!$C$2:$BC$100,   MATCH(   VLOOKUP(O$10,aux_fields,2,FALSE),      Model!$C$1:$BC$1,0),   FALSE),"-")</f>
        <v>58</v>
      </c>
      <c r="P14" s="106">
        <f>IFERROR(VLOOKUP(LOWER($C12),Model!$C$2:$BC$100,   MATCH(   VLOOKUP(P$10,aux_fields,2,FALSE),      Model!$C$1:$BC$1,0),   FALSE),"-")</f>
        <v>25</v>
      </c>
      <c r="Q14" s="106">
        <f>IFERROR(VLOOKUP(LOWER($C12),Model!$C$2:$BC$100,   MATCH(   VLOOKUP(Q$12,aux_fields,2,FALSE),      Model!$C$1:$BC$1,0),   FALSE),"-")</f>
        <v>0</v>
      </c>
      <c r="R14" s="106">
        <f>IFERROR(VLOOKUP(LOWER($C12),Model!$C$2:$BC$100,   MATCH(   VLOOKUP(R$12,aux_fields,2,FALSE),      Model!$C$1:$BC$1,0),   FALSE),"-")</f>
        <v>7</v>
      </c>
      <c r="S14" s="106">
        <f>IFERROR(VLOOKUP(LOWER($C12),Model!$C$2:$BC$100,   MATCH(   VLOOKUP(S$12,aux_fields,2,FALSE),      Model!$C$1:$BC$1,0),   FALSE),"-")</f>
        <v>50</v>
      </c>
      <c r="T14" s="127"/>
      <c r="U14" s="16"/>
    </row>
    <row r="15" spans="2:21" ht="18" customHeight="1" x14ac:dyDescent="0.4">
      <c r="B15" s="59"/>
      <c r="C15" s="340" t="s">
        <v>361</v>
      </c>
      <c r="D15" s="341"/>
      <c r="E15" s="346" t="str">
        <f>IF(AND(E17&lt;&gt;"-",F17&lt;&gt;"-"),CONCATENATE(E17," (from: ",F17,")"),"-")</f>
        <v>-</v>
      </c>
      <c r="F15" s="347"/>
      <c r="G15" s="347"/>
      <c r="H15" s="347"/>
      <c r="I15" s="347"/>
      <c r="J15" s="347"/>
      <c r="K15" s="347"/>
      <c r="L15" s="347"/>
      <c r="M15" s="347"/>
      <c r="N15" s="347"/>
      <c r="O15" s="347"/>
      <c r="P15" s="348"/>
      <c r="Q15" s="111" t="s">
        <v>631</v>
      </c>
      <c r="R15" s="112" t="s">
        <v>613</v>
      </c>
      <c r="S15" s="113" t="s">
        <v>614</v>
      </c>
      <c r="T15" s="125"/>
      <c r="U15" s="16"/>
    </row>
    <row r="16" spans="2:21" ht="18" customHeight="1" x14ac:dyDescent="0.4">
      <c r="B16" s="59"/>
      <c r="C16" s="342"/>
      <c r="D16" s="343"/>
      <c r="E16" s="350"/>
      <c r="F16" s="351"/>
      <c r="G16" s="351"/>
      <c r="H16" s="351"/>
      <c r="I16" s="351"/>
      <c r="J16" s="351"/>
      <c r="K16" s="351"/>
      <c r="L16" s="351"/>
      <c r="M16" s="351"/>
      <c r="N16" s="351"/>
      <c r="O16" s="351"/>
      <c r="P16" s="352"/>
      <c r="Q16" s="61"/>
      <c r="R16" s="61"/>
      <c r="S16" s="61"/>
      <c r="T16" s="126"/>
      <c r="U16" s="16"/>
    </row>
    <row r="17" spans="2:21" ht="18" customHeight="1" x14ac:dyDescent="0.4">
      <c r="B17" s="59"/>
      <c r="C17" s="344"/>
      <c r="D17" s="345"/>
      <c r="E17" s="110" t="str">
        <f>IFERROR(VLOOKUP(LOWER($C15),Model!$C$2:$BC$100,   MATCH(   VLOOKUP(E$10,aux_fields,2,FALSE),      Model!$C$1:$BC$1,0),   FALSE),"-")</f>
        <v>-</v>
      </c>
      <c r="F17" s="110" t="str">
        <f>IFERROR(VLOOKUP(LOWER($C15),Model!$C$2:$BC$100,   MATCH(   VLOOKUP(F$10,aux_fields,2,FALSE),      Model!$C$1:$BC$1,0),   FALSE),"-")</f>
        <v>-</v>
      </c>
      <c r="G17" s="106" t="str">
        <f>IFERROR(VLOOKUP(LOWER($C15),Model!$C$2:$BC$100,   MATCH(   VLOOKUP(G$10,aux_fields,2,FALSE),      Model!$C$1:$BC$1,0),   FALSE),"-")</f>
        <v>-</v>
      </c>
      <c r="H17" s="106" t="str">
        <f>IFERROR(VLOOKUP(LOWER($C15),Model!$C$2:$BC$100,   MATCH(   VLOOKUP(H$10,aux_fields,2,FALSE),      Model!$C$1:$BC$1,0),   FALSE),"-")</f>
        <v>-</v>
      </c>
      <c r="I17" s="106" t="str">
        <f>IFERROR(VLOOKUP(LOWER($C15),Model!$C$2:$BC$100,   MATCH(   VLOOKUP(I$10,aux_fields,2,FALSE),      Model!$C$1:$BC$1,0),   FALSE),"-")</f>
        <v>-</v>
      </c>
      <c r="J17" s="106" t="str">
        <f>IFERROR(G17*$I17,"-")</f>
        <v>-</v>
      </c>
      <c r="K17" s="106" t="str">
        <f>IFERROR(H17*$I17,"-")</f>
        <v>-</v>
      </c>
      <c r="L17" s="106" t="str">
        <f>IFERROR(VLOOKUP(LOWER($C15),Model!$C$2:$BC$100,   MATCH(   VLOOKUP(L$10,aux_fields,2,FALSE),      Model!$C$1:$BC$1,0),   FALSE),"-")</f>
        <v>-</v>
      </c>
      <c r="M17" s="106" t="str">
        <f>IFERROR(VLOOKUP(LOWER($C15),Model!$C$2:$BC$100,   MATCH(   VLOOKUP(M$10,aux_fields,2,FALSE),      Model!$C$1:$BC$1,0),   FALSE),"-")</f>
        <v>-</v>
      </c>
      <c r="N17" s="106" t="str">
        <f>IFERROR(VLOOKUP(LOWER($C15),Model!$C$2:$BC$100,   MATCH(   VLOOKUP(N$10,aux_fields,2,FALSE),      Model!$C$1:$BC$1,0),   FALSE),"-")</f>
        <v>-</v>
      </c>
      <c r="O17" s="106" t="str">
        <f>IFERROR(VLOOKUP(LOWER($C15),Model!$C$2:$BC$100,   MATCH(   VLOOKUP(O$10,aux_fields,2,FALSE),      Model!$C$1:$BC$1,0),   FALSE),"-")</f>
        <v>-</v>
      </c>
      <c r="P17" s="106" t="str">
        <f>IFERROR(VLOOKUP(LOWER($C15),Model!$C$2:$BC$100,   MATCH(   VLOOKUP(P$10,aux_fields,2,FALSE),      Model!$C$1:$BC$1,0),   FALSE),"-")</f>
        <v>-</v>
      </c>
      <c r="Q17" s="106" t="str">
        <f>IFERROR(VLOOKUP(LOWER($C15),Model!$C$2:$BC$100,   MATCH(   VLOOKUP(Q$15,aux_fields,2,FALSE),      Model!$C$1:$BC$1,0),   FALSE),"-")</f>
        <v>-</v>
      </c>
      <c r="R17" s="106" t="str">
        <f>IFERROR(VLOOKUP(LOWER($C15),Model!$C$2:$BC$100,   MATCH(   VLOOKUP(R$15,aux_fields,2,FALSE),      Model!$C$1:$BC$1,0),   FALSE),"-")</f>
        <v>-</v>
      </c>
      <c r="S17" s="106" t="str">
        <f>IFERROR(VLOOKUP(LOWER($C15),Model!$C$2:$BC$100,   MATCH(   VLOOKUP(S$15,aux_fields,2,FALSE),      Model!$C$1:$BC$1,0),   FALSE),"-")</f>
        <v>-</v>
      </c>
      <c r="T17" s="130"/>
      <c r="U17" s="16"/>
    </row>
    <row r="18" spans="2:21" ht="18" customHeight="1" x14ac:dyDescent="0.4">
      <c r="B18" s="5"/>
      <c r="C18" s="340" t="s">
        <v>287</v>
      </c>
      <c r="D18" s="341"/>
      <c r="E18" s="346" t="str">
        <f>IF(AND(E20&lt;&gt;"-",F20&lt;&gt;"-"),CONCATENATE(E20," (from: ",F20,")"),"-")</f>
        <v>MagneTorQuer board (iMTQ) (from: ISIS)</v>
      </c>
      <c r="F18" s="347"/>
      <c r="G18" s="347"/>
      <c r="H18" s="347"/>
      <c r="I18" s="347"/>
      <c r="J18" s="347"/>
      <c r="K18" s="347"/>
      <c r="L18" s="347"/>
      <c r="M18" s="347"/>
      <c r="N18" s="347"/>
      <c r="O18" s="347"/>
      <c r="P18" s="348"/>
      <c r="Q18" s="111" t="s">
        <v>622</v>
      </c>
      <c r="R18" s="112" t="s">
        <v>392</v>
      </c>
      <c r="S18" s="112" t="s">
        <v>620</v>
      </c>
      <c r="T18" s="113" t="s">
        <v>621</v>
      </c>
      <c r="U18" s="16"/>
    </row>
    <row r="19" spans="2:21" ht="18" customHeight="1" x14ac:dyDescent="0.4">
      <c r="B19" s="5"/>
      <c r="C19" s="342"/>
      <c r="D19" s="343"/>
      <c r="E19" s="350"/>
      <c r="F19" s="351"/>
      <c r="G19" s="351"/>
      <c r="H19" s="351"/>
      <c r="I19" s="351"/>
      <c r="J19" s="351"/>
      <c r="K19" s="351"/>
      <c r="L19" s="351"/>
      <c r="M19" s="351"/>
      <c r="N19" s="351"/>
      <c r="O19" s="351"/>
      <c r="P19" s="352"/>
      <c r="Q19" s="105"/>
      <c r="R19" s="105"/>
      <c r="S19" s="105"/>
      <c r="T19" s="105"/>
      <c r="U19" s="16"/>
    </row>
    <row r="20" spans="2:21" ht="18" customHeight="1" x14ac:dyDescent="0.4">
      <c r="B20" s="5"/>
      <c r="C20" s="344"/>
      <c r="D20" s="345"/>
      <c r="E20" s="110" t="str">
        <f>IFERROR(VLOOKUP(LOWER($C18),Model!$C$2:$BC$100,   MATCH(   VLOOKUP(E$10,aux_fields,2,FALSE),      Model!$C$1:$BC$1,0),   FALSE),"-")</f>
        <v>MagneTorQuer board (iMTQ)</v>
      </c>
      <c r="F20" s="110" t="str">
        <f>IFERROR(VLOOKUP(LOWER($C18),Model!$C$2:$BC$100,   MATCH(   VLOOKUP(F$10,aux_fields,2,FALSE),      Model!$C$1:$BC$1,0),   FALSE),"-")</f>
        <v>ISIS</v>
      </c>
      <c r="G20" s="106">
        <f>IFERROR(VLOOKUP(LOWER($C18),Model!$C$2:$BC$100,   MATCH(   VLOOKUP(G$10,aux_fields,2,FALSE),      Model!$C$1:$BC$1,0),   FALSE),"-")</f>
        <v>0.19600000000000001</v>
      </c>
      <c r="H20" s="106">
        <f>IFERROR(VLOOKUP(LOWER($C18),Model!$C$2:$BC$100,   MATCH(   VLOOKUP(H$10,aux_fields,2,FALSE),      Model!$C$1:$BC$1,0),   FALSE),"-")</f>
        <v>1.2</v>
      </c>
      <c r="I20" s="106">
        <f>IFERROR(VLOOKUP(LOWER($C18),Model!$C$2:$BC$100,   MATCH(   VLOOKUP(I$10,aux_fields,2,FALSE),      Model!$C$1:$BC$1,0),   FALSE),"-")</f>
        <v>3</v>
      </c>
      <c r="J20" s="106">
        <f>IFERROR(G20*$I20,"-")</f>
        <v>0.58800000000000008</v>
      </c>
      <c r="K20" s="106">
        <f>IFERROR(H20*$I20,"-")</f>
        <v>3.5999999999999996</v>
      </c>
      <c r="L20" s="106">
        <f>IFERROR(VLOOKUP(LOWER($C18),Model!$C$2:$BC$100,   MATCH(   VLOOKUP(L$10,aux_fields,2,FALSE),      Model!$C$1:$BC$1,0),   FALSE),"-")</f>
        <v>70</v>
      </c>
      <c r="M20" s="106">
        <f>IFERROR(VLOOKUP(LOWER($C18),Model!$C$2:$BC$100,   MATCH(   VLOOKUP(M$10,aux_fields,2,FALSE),      Model!$C$1:$BC$1,0),   FALSE),"-")</f>
        <v>-40</v>
      </c>
      <c r="N20" s="106">
        <f>IFERROR(VLOOKUP(LOWER($C18),Model!$C$2:$BC$100,   MATCH(   VLOOKUP(N$10,aux_fields,2,FALSE),      Model!$C$1:$BC$1,0),   FALSE),"-")</f>
        <v>95.9</v>
      </c>
      <c r="O20" s="106">
        <f>IFERROR(VLOOKUP(LOWER($C18),Model!$C$2:$BC$100,   MATCH(   VLOOKUP(O$10,aux_fields,2,FALSE),      Model!$C$1:$BC$1,0),   FALSE),"-")</f>
        <v>90.1</v>
      </c>
      <c r="P20" s="106">
        <f>IFERROR(VLOOKUP(LOWER($C18),Model!$C$2:$BC$100,   MATCH(   VLOOKUP(P$10,aux_fields,2,FALSE),      Model!$C$1:$BC$1,0),   FALSE),"-")</f>
        <v>17</v>
      </c>
      <c r="Q20" s="106">
        <f>IFERROR(VLOOKUP(LOWER($C18),Model!$C$2:$BC$100,   MATCH(   VLOOKUP(Q$18,aux_fields,2,FALSE),      Model!$C$1:$BC$1,0),   FALSE),"-")</f>
        <v>3</v>
      </c>
      <c r="R20" s="106">
        <f>IFERROR(VLOOKUP(LOWER($C18),Model!$C$2:$BC$100,   MATCH(   VLOOKUP(R$18,aux_fields,2,FALSE),      Model!$C$1:$BC$1,0),   FALSE),"-")</f>
        <v>0</v>
      </c>
      <c r="S20" s="106">
        <f>IFERROR(VLOOKUP(LOWER($C18),Model!$C$2:$BC$100,   MATCH(   VLOOKUP(S$18,aux_fields,2,FALSE),      Model!$C$1:$BC$1,0),   FALSE),"-")</f>
        <v>0</v>
      </c>
      <c r="T20" s="106">
        <f>IFERROR(VLOOKUP(LOWER($C18),Model!$C$2:$BC$100,   MATCH(   VLOOKUP(T$18,aux_fields,2,FALSE),      Model!$C$1:$BC$1,0),   FALSE),"-")</f>
        <v>200</v>
      </c>
      <c r="U20" s="16"/>
    </row>
    <row r="21" spans="2:21" ht="18" customHeight="1" x14ac:dyDescent="0.4">
      <c r="B21" s="5"/>
      <c r="C21" s="340" t="s">
        <v>363</v>
      </c>
      <c r="D21" s="341"/>
      <c r="E21" s="346" t="str">
        <f>IF(AND(E23&lt;&gt;"-",F23&lt;&gt;"-"),CONCATENATE(E23," (from: ",F23,")"),"-")</f>
        <v>-</v>
      </c>
      <c r="F21" s="347"/>
      <c r="G21" s="347"/>
      <c r="H21" s="347"/>
      <c r="I21" s="347"/>
      <c r="J21" s="347"/>
      <c r="K21" s="347"/>
      <c r="L21" s="347"/>
      <c r="M21" s="347"/>
      <c r="N21" s="347"/>
      <c r="O21" s="347"/>
      <c r="P21" s="348"/>
      <c r="Q21" s="128"/>
      <c r="R21" s="128"/>
      <c r="S21" s="128"/>
      <c r="T21" s="128"/>
      <c r="U21" s="16"/>
    </row>
    <row r="22" spans="2:21" ht="18" customHeight="1" x14ac:dyDescent="0.4">
      <c r="B22" s="5"/>
      <c r="C22" s="342"/>
      <c r="D22" s="343"/>
      <c r="E22" s="350"/>
      <c r="F22" s="351"/>
      <c r="G22" s="351"/>
      <c r="H22" s="351"/>
      <c r="I22" s="351"/>
      <c r="J22" s="351"/>
      <c r="K22" s="351"/>
      <c r="L22" s="351"/>
      <c r="M22" s="351"/>
      <c r="N22" s="351"/>
      <c r="O22" s="351"/>
      <c r="P22" s="352"/>
      <c r="Q22" s="129"/>
      <c r="R22" s="129"/>
      <c r="S22" s="129"/>
      <c r="T22" s="129"/>
      <c r="U22" s="16"/>
    </row>
    <row r="23" spans="2:21" ht="18" customHeight="1" x14ac:dyDescent="0.4">
      <c r="B23" s="5"/>
      <c r="C23" s="344"/>
      <c r="D23" s="345"/>
      <c r="E23" s="110" t="str">
        <f>IFERROR(VLOOKUP(LOWER($C21),Model!$C$2:$BC$100,MATCH(E$10,Model!$C$1:$BC$1,0),FALSE),"-")</f>
        <v>-</v>
      </c>
      <c r="F23" s="110" t="str">
        <f>IFERROR(VLOOKUP(LOWER($C21),Model!$C$2:$BC$100,MATCH(F$10,Model!$C$1:$BC$1,0),FALSE),"-")</f>
        <v>-</v>
      </c>
      <c r="G23" s="106" t="str">
        <f>IFERROR(VLOOKUP(LOWER($C21),Model!$C$2:$BC$100,MATCH(G$10,Model!$C$1:$BC$1,0),FALSE),"-")</f>
        <v>-</v>
      </c>
      <c r="H23" s="106" t="str">
        <f>IFERROR(VLOOKUP(LOWER($C21),Model!$C$2:$BC$100,MATCH(H$10,Model!$C$1:$BC$1,0),FALSE),"-")</f>
        <v>-</v>
      </c>
      <c r="I23" s="106" t="str">
        <f>IFERROR(VLOOKUP(LOWER($C21),Model!$C$2:$BC$100,MATCH(I$10,Model!$C$1:$BC$1,0),FALSE),"-")</f>
        <v>-</v>
      </c>
      <c r="J23" s="106" t="str">
        <f>IFERROR(G23*$I23,"-")</f>
        <v>-</v>
      </c>
      <c r="K23" s="106" t="str">
        <f>IFERROR(H23*$I23,"-")</f>
        <v>-</v>
      </c>
      <c r="L23" s="106" t="str">
        <f>IFERROR(VLOOKUP(LOWER($C21),Model!$C$2:$BC$100,MATCH(L$10,Model!$C$1:$BC$1,0),FALSE),"-")</f>
        <v>-</v>
      </c>
      <c r="M23" s="106" t="str">
        <f>IFERROR(VLOOKUP(LOWER($C21),Model!$C$2:$BC$100,MATCH(M$10,Model!$C$1:$BC$1,0),FALSE),"-")</f>
        <v>-</v>
      </c>
      <c r="N23" s="106" t="str">
        <f>IFERROR(VLOOKUP(LOWER($C21),Model!$C$2:$BC$100,MATCH(N$10,Model!$C$1:$BC$1,0),FALSE),"-")</f>
        <v>-</v>
      </c>
      <c r="O23" s="106" t="str">
        <f>IFERROR(VLOOKUP(LOWER($C21),Model!$C$2:$BC$100,MATCH(O$10,Model!$C$1:$BC$1,0),FALSE),"-")</f>
        <v>-</v>
      </c>
      <c r="P23" s="106" t="str">
        <f>IFERROR(VLOOKUP(LOWER($C21),Model!$C$2:$BC$100,MATCH(P$10,Model!$C$1:$BC$1,0),FALSE),"-")</f>
        <v>-</v>
      </c>
      <c r="Q23" s="130"/>
      <c r="R23" s="130"/>
      <c r="S23" s="130"/>
      <c r="T23" s="130"/>
      <c r="U23" s="16"/>
    </row>
    <row r="24" spans="2:21" ht="18" customHeight="1" x14ac:dyDescent="0.4"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</row>
    <row r="25" spans="2:21" ht="18" customHeight="1" x14ac:dyDescent="0.4">
      <c r="B25" s="123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</row>
    <row r="26" spans="2:21" ht="18" customHeight="1" x14ac:dyDescent="0.4">
      <c r="B26" s="123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</row>
    <row r="27" spans="2:21" ht="18" customHeight="1" x14ac:dyDescent="0.4">
      <c r="B27" s="123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</row>
    <row r="28" spans="2:21" ht="18" customHeight="1" x14ac:dyDescent="0.4">
      <c r="B28" s="123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</row>
  </sheetData>
  <sheetProtection selectLockedCells="1"/>
  <mergeCells count="16">
    <mergeCell ref="E18:P18"/>
    <mergeCell ref="E19:P19"/>
    <mergeCell ref="C21:D23"/>
    <mergeCell ref="E21:P21"/>
    <mergeCell ref="E22:P22"/>
    <mergeCell ref="C18:D20"/>
    <mergeCell ref="G4:P5"/>
    <mergeCell ref="G6:P7"/>
    <mergeCell ref="C15:D17"/>
    <mergeCell ref="E15:P15"/>
    <mergeCell ref="C10:D10"/>
    <mergeCell ref="C11:D11"/>
    <mergeCell ref="E12:P12"/>
    <mergeCell ref="E13:P13"/>
    <mergeCell ref="C12:D14"/>
    <mergeCell ref="E16:P16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>
    <tabColor rgb="FFFFC000"/>
  </sheetPr>
  <dimension ref="B1:U40"/>
  <sheetViews>
    <sheetView topLeftCell="A4" zoomScaleNormal="100" workbookViewId="0">
      <selection activeCell="N14" sqref="N14:O14"/>
    </sheetView>
  </sheetViews>
  <sheetFormatPr defaultColWidth="9" defaultRowHeight="18" customHeight="1" x14ac:dyDescent="0.4"/>
  <cols>
    <col min="1" max="16384" width="9" style="4"/>
  </cols>
  <sheetData>
    <row r="1" spans="2:21" ht="15" customHeight="1" x14ac:dyDescent="0.4"/>
    <row r="2" spans="2:21" ht="15" customHeight="1" x14ac:dyDescent="0.4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spans="2:21" ht="15" customHeight="1" x14ac:dyDescent="0.4">
      <c r="B3" s="5"/>
      <c r="U3" s="5"/>
    </row>
    <row r="4" spans="2:21" ht="15" customHeight="1" x14ac:dyDescent="0.4">
      <c r="B4" s="5"/>
      <c r="G4" s="199" t="s">
        <v>53</v>
      </c>
      <c r="H4" s="199"/>
      <c r="I4" s="199"/>
      <c r="J4" s="199"/>
      <c r="K4" s="199"/>
      <c r="L4" s="199"/>
      <c r="M4" s="199"/>
      <c r="N4" s="199"/>
      <c r="O4" s="199"/>
      <c r="P4" s="199"/>
      <c r="Q4" s="38"/>
      <c r="U4" s="5"/>
    </row>
    <row r="5" spans="2:21" ht="15" customHeight="1" x14ac:dyDescent="0.4">
      <c r="B5" s="5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38"/>
      <c r="U5" s="5"/>
    </row>
    <row r="6" spans="2:21" ht="15" customHeight="1" x14ac:dyDescent="0.4">
      <c r="B6" s="5"/>
      <c r="G6" s="200" t="s">
        <v>171</v>
      </c>
      <c r="H6" s="200"/>
      <c r="I6" s="200"/>
      <c r="J6" s="200"/>
      <c r="K6" s="200"/>
      <c r="L6" s="200"/>
      <c r="M6" s="200"/>
      <c r="N6" s="200"/>
      <c r="O6" s="200"/>
      <c r="P6" s="200"/>
      <c r="Q6" s="39"/>
      <c r="U6" s="5"/>
    </row>
    <row r="7" spans="2:21" ht="15" customHeight="1" x14ac:dyDescent="0.4">
      <c r="B7" s="5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39"/>
      <c r="U7" s="5"/>
    </row>
    <row r="8" spans="2:21" ht="15" customHeight="1" x14ac:dyDescent="0.4">
      <c r="B8" s="5"/>
      <c r="U8" s="5"/>
    </row>
    <row r="9" spans="2:21" ht="18" customHeight="1" x14ac:dyDescent="0.4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 spans="2:21" ht="18" customHeight="1" x14ac:dyDescent="0.4">
      <c r="B10" s="5"/>
      <c r="C10" s="349" t="s">
        <v>282</v>
      </c>
      <c r="D10" s="349"/>
      <c r="E10" s="108" t="s">
        <v>202</v>
      </c>
      <c r="F10" s="108" t="s">
        <v>271</v>
      </c>
      <c r="G10" s="108" t="s">
        <v>191</v>
      </c>
      <c r="H10" s="108" t="s">
        <v>192</v>
      </c>
      <c r="I10" s="108" t="s">
        <v>292</v>
      </c>
      <c r="J10" s="109" t="s">
        <v>294</v>
      </c>
      <c r="K10" s="109" t="s">
        <v>293</v>
      </c>
      <c r="L10" s="108" t="s">
        <v>611</v>
      </c>
      <c r="M10" s="108" t="s">
        <v>612</v>
      </c>
      <c r="N10" s="108" t="s">
        <v>608</v>
      </c>
      <c r="O10" s="108" t="s">
        <v>609</v>
      </c>
      <c r="P10" s="108" t="s">
        <v>610</v>
      </c>
      <c r="Q10" s="126"/>
      <c r="R10" s="126"/>
      <c r="S10" s="126"/>
      <c r="T10" s="126"/>
      <c r="U10" s="5"/>
    </row>
    <row r="11" spans="2:21" ht="18" customHeight="1" x14ac:dyDescent="0.4">
      <c r="B11" s="5"/>
      <c r="C11" s="263" t="s">
        <v>35</v>
      </c>
      <c r="D11" s="263"/>
      <c r="E11" s="106" t="s">
        <v>35</v>
      </c>
      <c r="F11" s="106" t="s">
        <v>35</v>
      </c>
      <c r="G11" s="106" t="s">
        <v>172</v>
      </c>
      <c r="H11" s="106" t="s">
        <v>41</v>
      </c>
      <c r="I11" s="106" t="s">
        <v>35</v>
      </c>
      <c r="J11" s="106" t="s">
        <v>172</v>
      </c>
      <c r="K11" s="106" t="s">
        <v>41</v>
      </c>
      <c r="L11" s="106" t="s">
        <v>184</v>
      </c>
      <c r="M11" s="106" t="s">
        <v>184</v>
      </c>
      <c r="N11" s="106" t="s">
        <v>281</v>
      </c>
      <c r="O11" s="106" t="s">
        <v>281</v>
      </c>
      <c r="P11" s="106" t="s">
        <v>281</v>
      </c>
      <c r="Q11" s="126"/>
      <c r="R11" s="126"/>
      <c r="S11" s="126"/>
      <c r="T11" s="126"/>
      <c r="U11" s="5"/>
    </row>
    <row r="12" spans="2:21" ht="18" customHeight="1" x14ac:dyDescent="0.4">
      <c r="B12" s="5"/>
      <c r="C12" s="353" t="s">
        <v>295</v>
      </c>
      <c r="D12" s="354"/>
      <c r="E12" s="346" t="str">
        <f>IF(AND(E14&lt;&gt;"-",F14&lt;&gt;"-"),CONCATENATE(E14," (from: ",F14,")"),"-")</f>
        <v>-</v>
      </c>
      <c r="F12" s="347"/>
      <c r="G12" s="347"/>
      <c r="H12" s="347"/>
      <c r="I12" s="347"/>
      <c r="J12" s="347"/>
      <c r="K12" s="347"/>
      <c r="L12" s="347"/>
      <c r="M12" s="347"/>
      <c r="N12" s="347"/>
      <c r="O12" s="347"/>
      <c r="P12" s="348"/>
      <c r="Q12" s="111" t="s">
        <v>584</v>
      </c>
      <c r="R12" s="111" t="s">
        <v>585</v>
      </c>
      <c r="S12" s="111" t="s">
        <v>623</v>
      </c>
      <c r="T12" s="111" t="s">
        <v>624</v>
      </c>
      <c r="U12" s="5"/>
    </row>
    <row r="13" spans="2:21" ht="18" customHeight="1" x14ac:dyDescent="0.4">
      <c r="B13" s="5"/>
      <c r="C13" s="355"/>
      <c r="D13" s="356"/>
      <c r="E13" s="350"/>
      <c r="F13" s="351"/>
      <c r="G13" s="351"/>
      <c r="H13" s="351"/>
      <c r="I13" s="351"/>
      <c r="J13" s="351"/>
      <c r="K13" s="351"/>
      <c r="L13" s="351"/>
      <c r="M13" s="351"/>
      <c r="N13" s="351"/>
      <c r="O13" s="351"/>
      <c r="P13" s="352"/>
      <c r="Q13" s="105" t="s">
        <v>124</v>
      </c>
      <c r="R13" s="105" t="s">
        <v>124</v>
      </c>
      <c r="S13" s="105" t="s">
        <v>124</v>
      </c>
      <c r="T13" s="105" t="s">
        <v>124</v>
      </c>
      <c r="U13" s="5"/>
    </row>
    <row r="14" spans="2:21" ht="18" customHeight="1" x14ac:dyDescent="0.4">
      <c r="B14" s="5"/>
      <c r="C14" s="357"/>
      <c r="D14" s="358"/>
      <c r="E14" s="110" t="str">
        <f>IFERROR(VLOOKUP(LOWER($C12),Model!$C$2:$BC$100,   MATCH(   VLOOKUP(Sensors!E$10,aux_fields,2,FALSE),      Model!$C$1:$BC$1,0),   FALSE),"-")</f>
        <v>-</v>
      </c>
      <c r="F14" s="110" t="str">
        <f>IFERROR(VLOOKUP(LOWER($C12),Model!$C$2:$BC$100,   MATCH(   VLOOKUP(Sensors!F$10,aux_fields,2,FALSE),      Model!$C$1:$BC$1,0),   FALSE),"-")</f>
        <v>-</v>
      </c>
      <c r="G14" s="106" t="str">
        <f>IFERROR(VLOOKUP(LOWER($C12),Model!$C$2:$BC$100,   MATCH(   VLOOKUP(Sensors!G$10,aux_fields,2,FALSE),      Model!$C$1:$BC$1,0),   FALSE),"-")</f>
        <v>-</v>
      </c>
      <c r="H14" s="106" t="str">
        <f>IFERROR(VLOOKUP(LOWER($C12),Model!$C$2:$BC$100,   MATCH(   VLOOKUP(Sensors!H$10,aux_fields,2,FALSE),      Model!$C$1:$BC$1,0),   FALSE),"-")</f>
        <v>-</v>
      </c>
      <c r="I14" s="106" t="str">
        <f>IFERROR(VLOOKUP(LOWER($C12),Model!$C$2:$BC$100,MATCH(Sensors!I$10,Model!$C$1:$BC$1,0),FALSE),"-")</f>
        <v>-</v>
      </c>
      <c r="J14" s="106" t="str">
        <f>IFERROR(G14*$I14,"-")</f>
        <v>-</v>
      </c>
      <c r="K14" s="106" t="str">
        <f>IFERROR(H14*$I14,"-")</f>
        <v>-</v>
      </c>
      <c r="L14" s="106" t="str">
        <f>IFERROR(VLOOKUP(LOWER($C12),Model!$C$2:$BC$100,   MATCH(   VLOOKUP(Sensors!L$10,aux_fields,2,FALSE),      Model!$C$1:$BC$1,0),   FALSE),"-")</f>
        <v>-</v>
      </c>
      <c r="M14" s="106" t="str">
        <f>IFERROR(VLOOKUP(LOWER($C12),Model!$C$2:$BC$100,   MATCH(   VLOOKUP(Sensors!M$10,aux_fields,2,FALSE),      Model!$C$1:$BC$1,0),   FALSE),"-")</f>
        <v>-</v>
      </c>
      <c r="N14" s="106" t="str">
        <f>IFERROR(VLOOKUP(LOWER($C12),Model!$C$2:$BC$100,   MATCH(   VLOOKUP(Sensors!N$10,aux_fields,2,FALSE),      Model!$C$1:$BC$1,0),   FALSE),"-")</f>
        <v>-</v>
      </c>
      <c r="O14" s="106" t="str">
        <f>IFERROR(VLOOKUP(LOWER($C12),Model!$C$2:$BC$100,   MATCH(   VLOOKUP(Sensors!O$10,aux_fields,2,FALSE),      Model!$C$1:$BC$1,0),   FALSE),"-")</f>
        <v>-</v>
      </c>
      <c r="P14" s="106" t="str">
        <f>IFERROR(VLOOKUP(LOWER($C12),Model!$C$2:$BC$100,   MATCH(   VLOOKUP(Sensors!P$10,aux_fields,2,FALSE),      Model!$C$1:$BC$1,0),   FALSE),"-")</f>
        <v>-</v>
      </c>
      <c r="Q14" s="106" t="str">
        <f>IFERROR(VLOOKUP(LOWER($C12),Model!$C$2:$BC$100,   MATCH(   VLOOKUP(Sensors!Q$12,aux_fields,2,FALSE),      Model!$C$1:$BC$1,0),   FALSE),"-")</f>
        <v>-</v>
      </c>
      <c r="R14" s="106" t="str">
        <f>IFERROR(VLOOKUP(LOWER($C12),Model!$C$2:$BC$100,   MATCH(   VLOOKUP(Sensors!R$12,aux_fields,2,FALSE),      Model!$C$1:$BC$1,0),   FALSE),"-")</f>
        <v>-</v>
      </c>
      <c r="S14" s="106" t="str">
        <f>IFERROR(VLOOKUP(LOWER($C12),Model!$C$2:$BC$100,   MATCH(   VLOOKUP(Sensors!S$12,aux_fields,2,FALSE),      Model!$C$1:$BC$1,0),   FALSE),"-")</f>
        <v>-</v>
      </c>
      <c r="T14" s="106" t="str">
        <f>IFERROR(VLOOKUP(LOWER($C12),Model!$C$2:$BC$100,   MATCH(   VLOOKUP(Sensors!T$12,aux_fields,2,FALSE),      Model!$C$1:$BC$1,0),   FALSE),"-")</f>
        <v>-</v>
      </c>
      <c r="U14" s="5"/>
    </row>
    <row r="15" spans="2:21" ht="18" customHeight="1" x14ac:dyDescent="0.4">
      <c r="B15" s="5"/>
      <c r="C15" s="353" t="s">
        <v>296</v>
      </c>
      <c r="D15" s="354"/>
      <c r="E15" s="346" t="str">
        <f>IF(AND(E17&lt;&gt;"-",F17&lt;&gt;"-"),CONCATENATE(E17," (from: ",F17,")"),"-")</f>
        <v>Nano-SSOC-D60 (from: SolarMEMS)</v>
      </c>
      <c r="F15" s="347"/>
      <c r="G15" s="347"/>
      <c r="H15" s="347"/>
      <c r="I15" s="347"/>
      <c r="J15" s="347"/>
      <c r="K15" s="347"/>
      <c r="L15" s="347"/>
      <c r="M15" s="347"/>
      <c r="N15" s="347"/>
      <c r="O15" s="347"/>
      <c r="P15" s="348"/>
      <c r="Q15" s="111" t="s">
        <v>584</v>
      </c>
      <c r="R15" s="111" t="s">
        <v>585</v>
      </c>
      <c r="S15" s="111" t="s">
        <v>623</v>
      </c>
      <c r="T15" s="111" t="s">
        <v>624</v>
      </c>
      <c r="U15" s="5"/>
    </row>
    <row r="16" spans="2:21" ht="18" customHeight="1" x14ac:dyDescent="0.4">
      <c r="B16" s="5"/>
      <c r="C16" s="355"/>
      <c r="D16" s="356"/>
      <c r="E16" s="350"/>
      <c r="F16" s="351"/>
      <c r="G16" s="351"/>
      <c r="H16" s="351"/>
      <c r="I16" s="351"/>
      <c r="J16" s="351"/>
      <c r="K16" s="351"/>
      <c r="L16" s="351"/>
      <c r="M16" s="351"/>
      <c r="N16" s="351"/>
      <c r="O16" s="351"/>
      <c r="P16" s="352"/>
      <c r="Q16" s="105" t="s">
        <v>124</v>
      </c>
      <c r="R16" s="105" t="s">
        <v>124</v>
      </c>
      <c r="S16" s="105" t="s">
        <v>124</v>
      </c>
      <c r="T16" s="105" t="s">
        <v>124</v>
      </c>
      <c r="U16" s="5"/>
    </row>
    <row r="17" spans="2:21" ht="18" customHeight="1" x14ac:dyDescent="0.4">
      <c r="B17" s="5"/>
      <c r="C17" s="357"/>
      <c r="D17" s="358"/>
      <c r="E17" s="110" t="str">
        <f>IFERROR(VLOOKUP(LOWER($C15),Model!$C$2:$BC$100,   MATCH(   VLOOKUP(Sensors!E$10,aux_fields,2,FALSE),      Model!$C$1:$BC$1,0),   FALSE),"-")</f>
        <v>Nano-SSOC-D60</v>
      </c>
      <c r="F17" s="110" t="str">
        <f>IFERROR(VLOOKUP(LOWER($C15),Model!$C$2:$BC$100,   MATCH(   VLOOKUP(Sensors!F$10,aux_fields,2,FALSE),      Model!$C$1:$BC$1,0),   FALSE),"-")</f>
        <v>SolarMEMS</v>
      </c>
      <c r="G17" s="106">
        <f>IFERROR(VLOOKUP(LOWER($C15),Model!$C$2:$BC$100,   MATCH(   VLOOKUP(Sensors!G$10,aux_fields,2,FALSE),      Model!$C$1:$BC$1,0),   FALSE),"-")</f>
        <v>6.4999999999999997E-3</v>
      </c>
      <c r="H17" s="106">
        <f>IFERROR(VLOOKUP(LOWER($C15),Model!$C$2:$BC$100,   MATCH(   VLOOKUP(Sensors!H$10,aux_fields,2,FALSE),      Model!$C$1:$BC$1,0),   FALSE),"-")</f>
        <v>7.5899999999999995E-2</v>
      </c>
      <c r="I17" s="106">
        <f>IFERROR(VLOOKUP(LOWER($C15),Model!$C$2:$BC$100,MATCH(Sensors!I$10,Model!$C$1:$BC$1,0),FALSE),"-")</f>
        <v>6</v>
      </c>
      <c r="J17" s="106">
        <f>IFERROR(G17*$I17,"-")</f>
        <v>3.9E-2</v>
      </c>
      <c r="K17" s="106">
        <f>IFERROR(H17*$I17,"-")</f>
        <v>0.45539999999999997</v>
      </c>
      <c r="L17" s="106">
        <f>IFERROR(VLOOKUP(LOWER($C15),Model!$C$2:$BC$100,   MATCH(   VLOOKUP(Sensors!L$10,aux_fields,2,FALSE),      Model!$C$1:$BC$1,0),   FALSE),"-")</f>
        <v>85</v>
      </c>
      <c r="M17" s="106">
        <f>IFERROR(VLOOKUP(LOWER($C15),Model!$C$2:$BC$100,   MATCH(   VLOOKUP(Sensors!M$10,aux_fields,2,FALSE),      Model!$C$1:$BC$1,0),   FALSE),"-")</f>
        <v>-30</v>
      </c>
      <c r="N17" s="106">
        <f>IFERROR(VLOOKUP(LOWER($C15),Model!$C$2:$BC$100,   MATCH(   VLOOKUP(Sensors!N$10,aux_fields,2,FALSE),      Model!$C$1:$BC$1,0),   FALSE),"-")</f>
        <v>43</v>
      </c>
      <c r="O17" s="106">
        <f>IFERROR(VLOOKUP(LOWER($C15),Model!$C$2:$BC$100,   MATCH(   VLOOKUP(Sensors!O$10,aux_fields,2,FALSE),      Model!$C$1:$BC$1,0),   FALSE),"-")</f>
        <v>14</v>
      </c>
      <c r="P17" s="106">
        <f>IFERROR(VLOOKUP(LOWER($C15),Model!$C$2:$BC$100,   MATCH(   VLOOKUP(Sensors!P$10,aux_fields,2,FALSE),      Model!$C$1:$BC$1,0),   FALSE),"-")</f>
        <v>5.9</v>
      </c>
      <c r="Q17" s="106">
        <f>IFERROR(VLOOKUP(LOWER($C15),Model!$C$2:$BC$100,   MATCH(   VLOOKUP(Sensors!Q$12,aux_fields,2,FALSE),      Model!$C$1:$BC$1,0),   FALSE),"-")</f>
        <v>0.1</v>
      </c>
      <c r="R17" s="106">
        <f>IFERROR(VLOOKUP(LOWER($C15),Model!$C$2:$BC$100,   MATCH(   VLOOKUP(Sensors!R$12,aux_fields,2,FALSE),      Model!$C$1:$BC$1,0),   FALSE),"-")</f>
        <v>0.5</v>
      </c>
      <c r="S17" s="106">
        <f>IFERROR(VLOOKUP(LOWER($C15),Model!$C$2:$BC$100,   MATCH(   VLOOKUP(Sensors!S$12,aux_fields,2,FALSE),      Model!$C$1:$BC$1,0),   FALSE),"-")</f>
        <v>120</v>
      </c>
      <c r="T17" s="106">
        <f>IFERROR(VLOOKUP(LOWER($C15),Model!$C$2:$BC$100,   MATCH(   VLOOKUP(Sensors!T$12,aux_fields,2,FALSE),      Model!$C$1:$BC$1,0),   FALSE),"-")</f>
        <v>120</v>
      </c>
      <c r="U17" s="5"/>
    </row>
    <row r="18" spans="2:21" ht="18" customHeight="1" x14ac:dyDescent="0.4">
      <c r="B18" s="5"/>
      <c r="C18" s="353" t="s">
        <v>297</v>
      </c>
      <c r="D18" s="354"/>
      <c r="E18" s="346" t="str">
        <f>IF(AND(E20&lt;&gt;"-",F20&lt;&gt;"-"),CONCATENATE(E20," (from: ",F20,")"),"-")</f>
        <v>-</v>
      </c>
      <c r="F18" s="347"/>
      <c r="G18" s="347"/>
      <c r="H18" s="347"/>
      <c r="I18" s="347"/>
      <c r="J18" s="347"/>
      <c r="K18" s="347"/>
      <c r="L18" s="347"/>
      <c r="M18" s="347"/>
      <c r="N18" s="347"/>
      <c r="O18" s="347"/>
      <c r="P18" s="348"/>
      <c r="Q18" s="111" t="s">
        <v>584</v>
      </c>
      <c r="R18" s="111" t="s">
        <v>585</v>
      </c>
      <c r="S18" s="111" t="s">
        <v>623</v>
      </c>
      <c r="T18" s="111" t="s">
        <v>624</v>
      </c>
      <c r="U18" s="5"/>
    </row>
    <row r="19" spans="2:21" ht="18" customHeight="1" x14ac:dyDescent="0.4">
      <c r="B19" s="5"/>
      <c r="C19" s="355"/>
      <c r="D19" s="356"/>
      <c r="E19" s="350"/>
      <c r="F19" s="351"/>
      <c r="G19" s="351"/>
      <c r="H19" s="351"/>
      <c r="I19" s="351"/>
      <c r="J19" s="351"/>
      <c r="K19" s="351"/>
      <c r="L19" s="351"/>
      <c r="M19" s="351"/>
      <c r="N19" s="351"/>
      <c r="O19" s="351"/>
      <c r="P19" s="352"/>
      <c r="Q19" s="105" t="s">
        <v>124</v>
      </c>
      <c r="R19" s="105" t="s">
        <v>124</v>
      </c>
      <c r="S19" s="105" t="s">
        <v>124</v>
      </c>
      <c r="T19" s="105" t="s">
        <v>124</v>
      </c>
      <c r="U19" s="5"/>
    </row>
    <row r="20" spans="2:21" ht="18" customHeight="1" x14ac:dyDescent="0.4">
      <c r="B20" s="5"/>
      <c r="C20" s="357"/>
      <c r="D20" s="358"/>
      <c r="E20" s="110" t="str">
        <f>IFERROR(VLOOKUP(LOWER($C18),Model!$C$2:$BC$100,   MATCH(   VLOOKUP(Sensors!E$10,aux_fields,2,FALSE),      Model!$C$1:$BC$1,0),   FALSE),"-")</f>
        <v>-</v>
      </c>
      <c r="F20" s="110" t="str">
        <f>IFERROR(VLOOKUP(LOWER($C18),Model!$C$2:$BC$100,   MATCH(   VLOOKUP(Sensors!F$10,aux_fields,2,FALSE),      Model!$C$1:$BC$1,0),   FALSE),"-")</f>
        <v>-</v>
      </c>
      <c r="G20" s="106" t="str">
        <f>IFERROR(VLOOKUP(LOWER($C18),Model!$C$2:$BC$100,   MATCH(   VLOOKUP(Sensors!G$10,aux_fields,2,FALSE),      Model!$C$1:$BC$1,0),   FALSE),"-")</f>
        <v>-</v>
      </c>
      <c r="H20" s="106" t="str">
        <f>IFERROR(VLOOKUP(LOWER($C18),Model!$C$2:$BC$100,   MATCH(   VLOOKUP(Sensors!H$10,aux_fields,2,FALSE),      Model!$C$1:$BC$1,0),   FALSE),"-")</f>
        <v>-</v>
      </c>
      <c r="I20" s="106" t="str">
        <f>IFERROR(VLOOKUP(LOWER($C18),Model!$C$2:$BC$100,MATCH(Sensors!I$10,Model!$C$1:$BC$1,0),FALSE),"-")</f>
        <v>-</v>
      </c>
      <c r="J20" s="106" t="str">
        <f>IFERROR(G20*$I20,"-")</f>
        <v>-</v>
      </c>
      <c r="K20" s="106" t="str">
        <f>IFERROR(H20*$I20,"-")</f>
        <v>-</v>
      </c>
      <c r="L20" s="106" t="str">
        <f>IFERROR(VLOOKUP(LOWER($C18),Model!$C$2:$BC$100,   MATCH(   VLOOKUP(Sensors!L$10,aux_fields,2,FALSE),      Model!$C$1:$BC$1,0),   FALSE),"-")</f>
        <v>-</v>
      </c>
      <c r="M20" s="106" t="str">
        <f>IFERROR(VLOOKUP(LOWER($C18),Model!$C$2:$BC$100,   MATCH(   VLOOKUP(Sensors!M$10,aux_fields,2,FALSE),      Model!$C$1:$BC$1,0),   FALSE),"-")</f>
        <v>-</v>
      </c>
      <c r="N20" s="106" t="str">
        <f>IFERROR(VLOOKUP(LOWER($C18),Model!$C$2:$BC$100,   MATCH(   VLOOKUP(Sensors!N$10,aux_fields,2,FALSE),      Model!$C$1:$BC$1,0),   FALSE),"-")</f>
        <v>-</v>
      </c>
      <c r="O20" s="106" t="str">
        <f>IFERROR(VLOOKUP(LOWER($C18),Model!$C$2:$BC$100,   MATCH(   VLOOKUP(Sensors!O$10,aux_fields,2,FALSE),      Model!$C$1:$BC$1,0),   FALSE),"-")</f>
        <v>-</v>
      </c>
      <c r="P20" s="106" t="str">
        <f>IFERROR(VLOOKUP(LOWER($C18),Model!$C$2:$BC$100,   MATCH(   VLOOKUP(Sensors!P$10,aux_fields,2,FALSE),      Model!$C$1:$BC$1,0),   FALSE),"-")</f>
        <v>-</v>
      </c>
      <c r="Q20" s="106" t="str">
        <f>IFERROR(VLOOKUP(LOWER($C18),Model!$C$2:$BC$100,   MATCH(   VLOOKUP(Sensors!Q$12,aux_fields,2,FALSE),      Model!$C$1:$BC$1,0),   FALSE),"-")</f>
        <v>-</v>
      </c>
      <c r="R20" s="106" t="str">
        <f>IFERROR(VLOOKUP(LOWER($C18),Model!$C$2:$BC$100,   MATCH(   VLOOKUP(Sensors!R$12,aux_fields,2,FALSE),      Model!$C$1:$BC$1,0),   FALSE),"-")</f>
        <v>-</v>
      </c>
      <c r="S20" s="106" t="str">
        <f>IFERROR(VLOOKUP(LOWER($C18),Model!$C$2:$BC$100,   MATCH(   VLOOKUP(Sensors!S$12,aux_fields,2,FALSE),      Model!$C$1:$BC$1,0),   FALSE),"-")</f>
        <v>-</v>
      </c>
      <c r="T20" s="106" t="str">
        <f>IFERROR(VLOOKUP(LOWER($C18),Model!$C$2:$BC$100,   MATCH(   VLOOKUP(Sensors!T$12,aux_fields,2,FALSE),      Model!$C$1:$BC$1,0),   FALSE),"-")</f>
        <v>-</v>
      </c>
      <c r="U20" s="5"/>
    </row>
    <row r="21" spans="2:21" ht="18" customHeight="1" x14ac:dyDescent="0.4">
      <c r="B21" s="5"/>
      <c r="C21" s="353" t="s">
        <v>472</v>
      </c>
      <c r="D21" s="354"/>
      <c r="E21" s="346" t="str">
        <f>IF(AND(E23&lt;&gt;"-",F23&lt;&gt;"-"),CONCATENATE(E23," (from: ",F23,")"),"-")</f>
        <v>-</v>
      </c>
      <c r="F21" s="347"/>
      <c r="G21" s="347"/>
      <c r="H21" s="347"/>
      <c r="I21" s="347"/>
      <c r="J21" s="347"/>
      <c r="K21" s="347"/>
      <c r="L21" s="347"/>
      <c r="M21" s="347"/>
      <c r="N21" s="347"/>
      <c r="O21" s="347"/>
      <c r="P21" s="348"/>
      <c r="Q21" s="111" t="s">
        <v>588</v>
      </c>
      <c r="R21" s="111" t="s">
        <v>590</v>
      </c>
      <c r="S21" s="125"/>
      <c r="T21" s="125"/>
      <c r="U21" s="5"/>
    </row>
    <row r="22" spans="2:21" ht="18" customHeight="1" x14ac:dyDescent="0.4">
      <c r="B22" s="5"/>
      <c r="C22" s="355"/>
      <c r="D22" s="356"/>
      <c r="E22" s="350"/>
      <c r="F22" s="351"/>
      <c r="G22" s="351"/>
      <c r="H22" s="351"/>
      <c r="I22" s="351"/>
      <c r="J22" s="351"/>
      <c r="K22" s="351"/>
      <c r="L22" s="351"/>
      <c r="M22" s="351"/>
      <c r="N22" s="351"/>
      <c r="O22" s="351"/>
      <c r="P22" s="352"/>
      <c r="Q22" s="105"/>
      <c r="R22" s="105"/>
      <c r="S22" s="126"/>
      <c r="T22" s="126"/>
      <c r="U22" s="5"/>
    </row>
    <row r="23" spans="2:21" ht="18" customHeight="1" x14ac:dyDescent="0.4">
      <c r="B23" s="5"/>
      <c r="C23" s="357"/>
      <c r="D23" s="358"/>
      <c r="E23" s="110" t="str">
        <f>IFERROR(VLOOKUP(LOWER($C21),Model!$C$2:$BC$100,   MATCH(   VLOOKUP(Sensors!E$10,aux_fields,2,FALSE),      Model!$C$1:$BC$1,0),   FALSE),"-")</f>
        <v>-</v>
      </c>
      <c r="F23" s="110" t="str">
        <f>IFERROR(VLOOKUP(LOWER($C21),Model!$C$2:$BC$100,   MATCH(   VLOOKUP(Sensors!F$10,aux_fields,2,FALSE),      Model!$C$1:$BC$1,0),   FALSE),"-")</f>
        <v>-</v>
      </c>
      <c r="G23" s="106" t="str">
        <f>IFERROR(VLOOKUP(LOWER($C21),Model!$C$2:$BC$100,   MATCH(   VLOOKUP(Sensors!G$10,aux_fields,2,FALSE),      Model!$C$1:$BC$1,0),   FALSE),"-")</f>
        <v>-</v>
      </c>
      <c r="H23" s="106" t="str">
        <f>IFERROR(VLOOKUP(LOWER($C21),Model!$C$2:$BC$100,   MATCH(   VLOOKUP(Sensors!H$10,aux_fields,2,FALSE),      Model!$C$1:$BC$1,0),   FALSE),"-")</f>
        <v>-</v>
      </c>
      <c r="I23" s="106" t="str">
        <f>IFERROR(VLOOKUP(LOWER($C21),Model!$C$2:$BC$100,MATCH(Sensors!I$10,Model!$C$1:$BC$1,0),FALSE),"-")</f>
        <v>-</v>
      </c>
      <c r="J23" s="106" t="str">
        <f>IFERROR(G23*$I23,"-")</f>
        <v>-</v>
      </c>
      <c r="K23" s="106" t="str">
        <f>IFERROR(H23*$I23,"-")</f>
        <v>-</v>
      </c>
      <c r="L23" s="106" t="str">
        <f>IFERROR(VLOOKUP(LOWER($C21),Model!$C$2:$BC$100,   MATCH(   VLOOKUP(Sensors!L$10,aux_fields,2,FALSE),      Model!$C$1:$BC$1,0),   FALSE),"-")</f>
        <v>-</v>
      </c>
      <c r="M23" s="106" t="str">
        <f>IFERROR(VLOOKUP(LOWER($C21),Model!$C$2:$BC$100,   MATCH(   VLOOKUP(Sensors!M$10,aux_fields,2,FALSE),      Model!$C$1:$BC$1,0),   FALSE),"-")</f>
        <v>-</v>
      </c>
      <c r="N23" s="106" t="str">
        <f>IFERROR(VLOOKUP(LOWER($C21),Model!$C$2:$BC$100,   MATCH(   VLOOKUP(Sensors!N$10,aux_fields,2,FALSE),      Model!$C$1:$BC$1,0),   FALSE),"-")</f>
        <v>-</v>
      </c>
      <c r="O23" s="106" t="str">
        <f>IFERROR(VLOOKUP(LOWER($C21),Model!$C$2:$BC$100,   MATCH(   VLOOKUP(Sensors!O$10,aux_fields,2,FALSE),      Model!$C$1:$BC$1,0),   FALSE),"-")</f>
        <v>-</v>
      </c>
      <c r="P23" s="106" t="str">
        <f>IFERROR(VLOOKUP(LOWER($C21),Model!$C$2:$BC$100,   MATCH(   VLOOKUP(Sensors!P$10,aux_fields,2,FALSE),      Model!$C$1:$BC$1,0),   FALSE),"-")</f>
        <v>-</v>
      </c>
      <c r="Q23" s="106" t="str">
        <f>IFERROR(VLOOKUP(LOWER($C21),Model!$C$2:$BC$100,   MATCH(   VLOOKUP(Sensors!Q$21,aux_fields,2,FALSE),      Model!$C$1:$BC$1,0),   FALSE),"-")</f>
        <v>-</v>
      </c>
      <c r="R23" s="106" t="str">
        <f>IFERROR(VLOOKUP(LOWER($C21),Model!$C$2:$BC$100,   MATCH(   VLOOKUP(Sensors!R$21,aux_fields,2,FALSE),      Model!$C$1:$BC$1,0),   FALSE),"-")</f>
        <v>-</v>
      </c>
      <c r="S23" s="127"/>
      <c r="T23" s="127"/>
      <c r="U23" s="5"/>
    </row>
    <row r="24" spans="2:21" ht="18" customHeight="1" x14ac:dyDescent="0.4">
      <c r="B24" s="5"/>
      <c r="C24" s="353" t="s">
        <v>586</v>
      </c>
      <c r="D24" s="354"/>
      <c r="E24" s="346" t="str">
        <f>IF(AND(E26&lt;&gt;"-",F26&lt;&gt;"-"),CONCATENATE(E26," (from: ",F26,")"),"-")</f>
        <v>-</v>
      </c>
      <c r="F24" s="347"/>
      <c r="G24" s="347"/>
      <c r="H24" s="347"/>
      <c r="I24" s="347"/>
      <c r="J24" s="347"/>
      <c r="K24" s="347"/>
      <c r="L24" s="347"/>
      <c r="M24" s="347"/>
      <c r="N24" s="347"/>
      <c r="O24" s="347"/>
      <c r="P24" s="348"/>
      <c r="Q24" s="111" t="s">
        <v>589</v>
      </c>
      <c r="R24" s="125"/>
      <c r="S24" s="125"/>
      <c r="T24" s="125"/>
      <c r="U24" s="5"/>
    </row>
    <row r="25" spans="2:21" ht="18" customHeight="1" x14ac:dyDescent="0.4">
      <c r="B25" s="5"/>
      <c r="C25" s="355"/>
      <c r="D25" s="356"/>
      <c r="E25" s="350"/>
      <c r="F25" s="351"/>
      <c r="G25" s="351"/>
      <c r="H25" s="351"/>
      <c r="I25" s="351"/>
      <c r="J25" s="351"/>
      <c r="K25" s="351"/>
      <c r="L25" s="351"/>
      <c r="M25" s="351"/>
      <c r="N25" s="351"/>
      <c r="O25" s="351"/>
      <c r="P25" s="352"/>
      <c r="Q25" s="105"/>
      <c r="R25" s="126"/>
      <c r="S25" s="126"/>
      <c r="T25" s="126"/>
      <c r="U25" s="5"/>
    </row>
    <row r="26" spans="2:21" ht="18" customHeight="1" x14ac:dyDescent="0.4">
      <c r="B26" s="5"/>
      <c r="C26" s="357"/>
      <c r="D26" s="358"/>
      <c r="E26" s="110" t="str">
        <f>IFERROR(VLOOKUP(LOWER($C24),Model!$C$2:$BC$100,   MATCH(   VLOOKUP(Sensors!E$10,aux_fields,2,FALSE),      Model!$C$1:$BC$1,0),   FALSE),"-")</f>
        <v>-</v>
      </c>
      <c r="F26" s="110" t="str">
        <f>IFERROR(VLOOKUP(LOWER($C24),Model!$C$2:$BC$100,   MATCH(   VLOOKUP(Sensors!F$10,aux_fields,2,FALSE),      Model!$C$1:$BC$1,0),   FALSE),"-")</f>
        <v>-</v>
      </c>
      <c r="G26" s="106" t="str">
        <f>IFERROR(VLOOKUP(LOWER($C24),Model!$C$2:$BC$100,   MATCH(   VLOOKUP(Sensors!G$10,aux_fields,2,FALSE),      Model!$C$1:$BC$1,0),   FALSE),"-")</f>
        <v>-</v>
      </c>
      <c r="H26" s="106" t="str">
        <f>IFERROR(VLOOKUP(LOWER($C24),Model!$C$2:$BC$100,   MATCH(   VLOOKUP(Sensors!H$10,aux_fields,2,FALSE),      Model!$C$1:$BC$1,0),   FALSE),"-")</f>
        <v>-</v>
      </c>
      <c r="I26" s="106" t="str">
        <f>IFERROR(VLOOKUP(LOWER($C24),Model!$C$2:$BC$100,MATCH(Sensors!I$10,Model!$C$1:$BC$1,0),FALSE),"-")</f>
        <v>-</v>
      </c>
      <c r="J26" s="106" t="str">
        <f>IFERROR(G26*$I26,"-")</f>
        <v>-</v>
      </c>
      <c r="K26" s="106" t="str">
        <f>IFERROR(H26*$I26,"-")</f>
        <v>-</v>
      </c>
      <c r="L26" s="106" t="str">
        <f>IFERROR(VLOOKUP(LOWER($C24),Model!$C$2:$BC$100,   MATCH(   VLOOKUP(Sensors!L$10,aux_fields,2,FALSE),      Model!$C$1:$BC$1,0),   FALSE),"-")</f>
        <v>-</v>
      </c>
      <c r="M26" s="106" t="str">
        <f>IFERROR(VLOOKUP(LOWER($C24),Model!$C$2:$BC$100,   MATCH(   VLOOKUP(Sensors!M$10,aux_fields,2,FALSE),      Model!$C$1:$BC$1,0),   FALSE),"-")</f>
        <v>-</v>
      </c>
      <c r="N26" s="106" t="str">
        <f>IFERROR(VLOOKUP(LOWER($C24),Model!$C$2:$BC$100,   MATCH(   VLOOKUP(Sensors!N$10,aux_fields,2,FALSE),      Model!$C$1:$BC$1,0),   FALSE),"-")</f>
        <v>-</v>
      </c>
      <c r="O26" s="106" t="str">
        <f>IFERROR(VLOOKUP(LOWER($C24),Model!$C$2:$BC$100,   MATCH(   VLOOKUP(Sensors!O$10,aux_fields,2,FALSE),      Model!$C$1:$BC$1,0),   FALSE),"-")</f>
        <v>-</v>
      </c>
      <c r="P26" s="106" t="str">
        <f>IFERROR(VLOOKUP(LOWER($C24),Model!$C$2:$BC$100,   MATCH(   VLOOKUP(Sensors!P$10,aux_fields,2,FALSE),      Model!$C$1:$BC$1,0),   FALSE),"-")</f>
        <v>-</v>
      </c>
      <c r="Q26" s="106" t="str">
        <f>IFERROR(VLOOKUP(LOWER($C24),Model!$C$2:$BC$100,   MATCH(   VLOOKUP(Sensors!Q$24,aux_fields,2,FALSE),      Model!$C$1:$BC$1,0),   FALSE),"-")</f>
        <v>-</v>
      </c>
      <c r="R26" s="127"/>
      <c r="S26" s="127"/>
      <c r="T26" s="127"/>
      <c r="U26" s="5"/>
    </row>
    <row r="27" spans="2:21" ht="18" customHeight="1" x14ac:dyDescent="0.4">
      <c r="B27" s="5"/>
      <c r="C27" s="353" t="s">
        <v>205</v>
      </c>
      <c r="D27" s="354"/>
      <c r="E27" s="346" t="str">
        <f>IF(AND(E29&lt;&gt;"-",F29&lt;&gt;"-"),CONCATENATE(E29," (from: ",F29,")"),"-")</f>
        <v>GPS-kit (from: GomSpace)</v>
      </c>
      <c r="F27" s="347"/>
      <c r="G27" s="347"/>
      <c r="H27" s="347"/>
      <c r="I27" s="347"/>
      <c r="J27" s="347"/>
      <c r="K27" s="347"/>
      <c r="L27" s="347"/>
      <c r="M27" s="347"/>
      <c r="N27" s="347"/>
      <c r="O27" s="347"/>
      <c r="P27" s="348"/>
      <c r="Q27" s="112" t="s">
        <v>629</v>
      </c>
      <c r="R27" s="112" t="s">
        <v>630</v>
      </c>
      <c r="S27" s="111" t="s">
        <v>205</v>
      </c>
      <c r="T27" s="125"/>
      <c r="U27" s="5"/>
    </row>
    <row r="28" spans="2:21" ht="18" customHeight="1" x14ac:dyDescent="0.4">
      <c r="B28" s="5"/>
      <c r="C28" s="355"/>
      <c r="D28" s="356"/>
      <c r="E28" s="350"/>
      <c r="F28" s="351"/>
      <c r="G28" s="351"/>
      <c r="H28" s="351"/>
      <c r="I28" s="351"/>
      <c r="J28" s="351"/>
      <c r="K28" s="351"/>
      <c r="L28" s="351"/>
      <c r="M28" s="351"/>
      <c r="N28" s="351"/>
      <c r="O28" s="351"/>
      <c r="P28" s="352"/>
      <c r="Q28" s="105"/>
      <c r="R28" s="105"/>
      <c r="S28" s="105"/>
      <c r="T28" s="126"/>
      <c r="U28" s="5"/>
    </row>
    <row r="29" spans="2:21" ht="18" customHeight="1" x14ac:dyDescent="0.4">
      <c r="B29" s="5"/>
      <c r="C29" s="357"/>
      <c r="D29" s="358"/>
      <c r="E29" s="110" t="str">
        <f>IFERROR(VLOOKUP(LOWER($C27),Model!$C$2:$BC$100,   MATCH(   VLOOKUP(Sensors!E$10,aux_fields,2,FALSE),      Model!$C$1:$BC$1,0),   FALSE),"-")</f>
        <v>GPS-kit</v>
      </c>
      <c r="F29" s="110" t="str">
        <f>IFERROR(VLOOKUP(LOWER($C27),Model!$C$2:$BC$100,   MATCH(   VLOOKUP(Sensors!F$10,aux_fields,2,FALSE),      Model!$C$1:$BC$1,0),   FALSE),"-")</f>
        <v>GomSpace</v>
      </c>
      <c r="G29" s="106">
        <f>IFERROR(VLOOKUP(LOWER($C27),Model!$C$2:$BC$100,   MATCH(   VLOOKUP(Sensors!G$10,aux_fields,2,FALSE),      Model!$C$1:$BC$1,0),   FALSE),"-")</f>
        <v>2.4E-2</v>
      </c>
      <c r="H29" s="106">
        <f>IFERROR(VLOOKUP(LOWER($C27),Model!$C$2:$BC$100,   MATCH(   VLOOKUP(Sensors!H$10,aux_fields,2,FALSE),      Model!$C$1:$BC$1,0),   FALSE),"-")</f>
        <v>1.1549999999999998</v>
      </c>
      <c r="I29" s="106">
        <f>IFERROR(VLOOKUP(LOWER($C27),Model!$C$2:$BC$100,MATCH(Sensors!I$10,Model!$C$1:$BC$1,0),FALSE),"-")</f>
        <v>3</v>
      </c>
      <c r="J29" s="106">
        <f>IFERROR(G29*$I29,"-")</f>
        <v>7.2000000000000008E-2</v>
      </c>
      <c r="K29" s="106">
        <f>IFERROR(H29*$I29,"-")</f>
        <v>3.4649999999999994</v>
      </c>
      <c r="L29" s="106">
        <f>IFERROR(VLOOKUP(LOWER($C27),Model!$C$2:$BC$100,   MATCH(   VLOOKUP(Sensors!L$10,aux_fields,2,FALSE),      Model!$C$1:$BC$1,0),   FALSE),"-")</f>
        <v>0</v>
      </c>
      <c r="M29" s="106">
        <f>IFERROR(VLOOKUP(LOWER($C27),Model!$C$2:$BC$100,   MATCH(   VLOOKUP(Sensors!M$10,aux_fields,2,FALSE),      Model!$C$1:$BC$1,0),   FALSE),"-")</f>
        <v>0</v>
      </c>
      <c r="N29" s="106">
        <f>IFERROR(VLOOKUP(LOWER($C27),Model!$C$2:$BC$100,   MATCH(   VLOOKUP(Sensors!N$10,aux_fields,2,FALSE),      Model!$C$1:$BC$1,0),   FALSE),"-")</f>
        <v>46</v>
      </c>
      <c r="O29" s="106">
        <f>IFERROR(VLOOKUP(LOWER($C27),Model!$C$2:$BC$100,   MATCH(   VLOOKUP(Sensors!O$10,aux_fields,2,FALSE),      Model!$C$1:$BC$1,0),   FALSE),"-")</f>
        <v>72</v>
      </c>
      <c r="P29" s="106">
        <f>IFERROR(VLOOKUP(LOWER($C27),Model!$C$2:$BC$100,   MATCH(   VLOOKUP(Sensors!P$10,aux_fields,2,FALSE),      Model!$C$1:$BC$1,0),   FALSE),"-")</f>
        <v>11</v>
      </c>
      <c r="Q29" s="106">
        <f>IFERROR(VLOOKUP(LOWER($C27),Model!$C$2:$BC$100,   MATCH(   VLOOKUP(Sensors!Q$27,aux_fields,2,FALSE),      Model!$C$1:$BC$1,0),   FALSE),"-")</f>
        <v>1.5</v>
      </c>
      <c r="R29" s="106">
        <f>IFERROR(VLOOKUP(LOWER($C27),Model!$C$2:$BC$100,   MATCH(   VLOOKUP(Sensors!R$27,aux_fields,2,FALSE),      Model!$C$1:$BC$1,0),   FALSE),"-")</f>
        <v>0.03</v>
      </c>
      <c r="S29" s="106" t="str">
        <f>IFERROR(VLOOKUP(LOWER($C27),Model!$C$2:$BC$100,   MATCH(   VLOOKUP(Sensors!S$27,aux_fields,2,FALSE),      Model!$C$1:$BC$1,0),   FALSE),"-")</f>
        <v>GPS+GLONASS</v>
      </c>
      <c r="T29" s="127"/>
      <c r="U29" s="5"/>
    </row>
    <row r="30" spans="2:21" ht="18" customHeight="1" x14ac:dyDescent="0.4">
      <c r="B30" s="5"/>
      <c r="C30" s="353" t="s">
        <v>298</v>
      </c>
      <c r="D30" s="354"/>
      <c r="E30" s="346" t="str">
        <f>IF(AND(E32&lt;&gt;"-",F32&lt;&gt;"-"),CONCATENATE(E32," (from: ",F32,")"),"-")</f>
        <v>-</v>
      </c>
      <c r="F30" s="347"/>
      <c r="G30" s="347"/>
      <c r="H30" s="347"/>
      <c r="I30" s="347"/>
      <c r="J30" s="347"/>
      <c r="K30" s="347"/>
      <c r="L30" s="347"/>
      <c r="M30" s="347"/>
      <c r="N30" s="347"/>
      <c r="O30" s="347"/>
      <c r="P30" s="348"/>
      <c r="Q30" s="125"/>
      <c r="R30" s="125"/>
      <c r="S30" s="125"/>
      <c r="T30" s="125"/>
      <c r="U30" s="5"/>
    </row>
    <row r="31" spans="2:21" ht="18" customHeight="1" x14ac:dyDescent="0.4">
      <c r="B31" s="59"/>
      <c r="C31" s="355"/>
      <c r="D31" s="356"/>
      <c r="E31" s="350"/>
      <c r="F31" s="351"/>
      <c r="G31" s="351"/>
      <c r="H31" s="351"/>
      <c r="I31" s="351"/>
      <c r="J31" s="351"/>
      <c r="K31" s="351"/>
      <c r="L31" s="351"/>
      <c r="M31" s="351"/>
      <c r="N31" s="351"/>
      <c r="O31" s="351"/>
      <c r="P31" s="352"/>
      <c r="Q31" s="126"/>
      <c r="R31" s="126"/>
      <c r="S31" s="126"/>
      <c r="T31" s="126"/>
      <c r="U31" s="59"/>
    </row>
    <row r="32" spans="2:21" ht="18" customHeight="1" x14ac:dyDescent="0.4">
      <c r="B32" s="59"/>
      <c r="C32" s="357"/>
      <c r="D32" s="358"/>
      <c r="E32" s="110" t="str">
        <f>IFERROR(VLOOKUP(LOWER($C30),Model!$C$2:$BC$100,   MATCH(   VLOOKUP(Sensors!E$10,aux_fields,2,FALSE),      Model!$C$1:$BC$1,0),   FALSE),"-")</f>
        <v>-</v>
      </c>
      <c r="F32" s="110" t="str">
        <f>IFERROR(VLOOKUP(LOWER($C30),Model!$C$2:$BC$100,   MATCH(   VLOOKUP(Sensors!F$10,aux_fields,2,FALSE),      Model!$C$1:$BC$1,0),   FALSE),"-")</f>
        <v>-</v>
      </c>
      <c r="G32" s="106" t="str">
        <f>IFERROR(VLOOKUP(LOWER($C30),Model!$C$2:$BC$100,   MATCH(   VLOOKUP(Sensors!G$10,aux_fields,2,FALSE),      Model!$C$1:$BC$1,0),   FALSE),"-")</f>
        <v>-</v>
      </c>
      <c r="H32" s="106" t="str">
        <f>IFERROR(VLOOKUP(LOWER($C30),Model!$C$2:$BC$100,   MATCH(   VLOOKUP(Sensors!H$10,aux_fields,2,FALSE),      Model!$C$1:$BC$1,0),   FALSE),"-")</f>
        <v>-</v>
      </c>
      <c r="I32" s="106" t="str">
        <f>IFERROR(VLOOKUP(LOWER($C30),Model!$C$2:$BC$100,MATCH(Sensors!I$10,Model!$C$1:$BC$1,0),FALSE),"-")</f>
        <v>-</v>
      </c>
      <c r="J32" s="106" t="str">
        <f>IFERROR(G32*$I32,"-")</f>
        <v>-</v>
      </c>
      <c r="K32" s="106" t="str">
        <f>IFERROR(H32*$I32,"-")</f>
        <v>-</v>
      </c>
      <c r="L32" s="106" t="str">
        <f>IFERROR(VLOOKUP(LOWER($C30),Model!$C$2:$BC$100,   MATCH(   VLOOKUP(Sensors!L$10,aux_fields,2,FALSE),      Model!$C$1:$BC$1,0),   FALSE),"-")</f>
        <v>-</v>
      </c>
      <c r="M32" s="106" t="str">
        <f>IFERROR(VLOOKUP(LOWER($C30),Model!$C$2:$BC$100,   MATCH(   VLOOKUP(Sensors!M$10,aux_fields,2,FALSE),      Model!$C$1:$BC$1,0),   FALSE),"-")</f>
        <v>-</v>
      </c>
      <c r="N32" s="106" t="str">
        <f>IFERROR(VLOOKUP(LOWER($C30),Model!$C$2:$BC$100,   MATCH(   VLOOKUP(Sensors!N$10,aux_fields,2,FALSE),      Model!$C$1:$BC$1,0),   FALSE),"-")</f>
        <v>-</v>
      </c>
      <c r="O32" s="106" t="str">
        <f>IFERROR(VLOOKUP(LOWER($C30),Model!$C$2:$BC$100,   MATCH(   VLOOKUP(Sensors!O$10,aux_fields,2,FALSE),      Model!$C$1:$BC$1,0),   FALSE),"-")</f>
        <v>-</v>
      </c>
      <c r="P32" s="106" t="str">
        <f>IFERROR(VLOOKUP(LOWER($C30),Model!$C$2:$BC$100,   MATCH(   VLOOKUP(Sensors!P$10,aux_fields,2,FALSE),      Model!$C$1:$BC$1,0),   FALSE),"-")</f>
        <v>-</v>
      </c>
      <c r="Q32" s="127"/>
      <c r="R32" s="127"/>
      <c r="S32" s="127"/>
      <c r="T32" s="127"/>
      <c r="U32" s="59"/>
    </row>
    <row r="33" spans="2:21" ht="18" customHeight="1" x14ac:dyDescent="0.4">
      <c r="B33" s="59"/>
      <c r="C33" s="353" t="s">
        <v>362</v>
      </c>
      <c r="D33" s="354"/>
      <c r="E33" s="346" t="str">
        <f>IF(AND(E35&lt;&gt;"-",F35&lt;&gt;"-"),CONCATENATE(E35," (from: ",F35,")"),"-")</f>
        <v>-</v>
      </c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8"/>
      <c r="Q33" s="125"/>
      <c r="R33" s="125"/>
      <c r="S33" s="125"/>
      <c r="T33" s="125"/>
      <c r="U33" s="59"/>
    </row>
    <row r="34" spans="2:21" ht="18" customHeight="1" x14ac:dyDescent="0.4">
      <c r="B34" s="59"/>
      <c r="C34" s="355"/>
      <c r="D34" s="356"/>
      <c r="E34" s="350"/>
      <c r="F34" s="351"/>
      <c r="G34" s="351"/>
      <c r="H34" s="351"/>
      <c r="I34" s="351"/>
      <c r="J34" s="351"/>
      <c r="K34" s="351"/>
      <c r="L34" s="351"/>
      <c r="M34" s="351"/>
      <c r="N34" s="351"/>
      <c r="O34" s="351"/>
      <c r="P34" s="352"/>
      <c r="Q34" s="126"/>
      <c r="R34" s="126"/>
      <c r="S34" s="126"/>
      <c r="T34" s="126"/>
      <c r="U34" s="59"/>
    </row>
    <row r="35" spans="2:21" ht="18" customHeight="1" x14ac:dyDescent="0.4">
      <c r="B35" s="59"/>
      <c r="C35" s="357"/>
      <c r="D35" s="358"/>
      <c r="E35" s="110" t="str">
        <f>IFERROR(VLOOKUP(LOWER($C33),Model!$C$2:$BC$100,   MATCH(   VLOOKUP(Sensors!E$10,aux_fields,2,FALSE),      Model!$C$1:$BC$1,0),   FALSE),"-")</f>
        <v>-</v>
      </c>
      <c r="F35" s="110" t="str">
        <f>IFERROR(VLOOKUP(LOWER($C33),Model!$C$2:$BC$100,   MATCH(   VLOOKUP(Sensors!F$10,aux_fields,2,FALSE),      Model!$C$1:$BC$1,0),   FALSE),"-")</f>
        <v>-</v>
      </c>
      <c r="G35" s="106" t="str">
        <f>IFERROR(VLOOKUP(LOWER($C33),Model!$C$2:$BC$100,   MATCH(   VLOOKUP(Sensors!G$10,aux_fields,2,FALSE),      Model!$C$1:$BC$1,0),   FALSE),"-")</f>
        <v>-</v>
      </c>
      <c r="H35" s="106" t="str">
        <f>IFERROR(VLOOKUP(LOWER($C33),Model!$C$2:$BC$100,   MATCH(   VLOOKUP(Sensors!H$10,aux_fields,2,FALSE),      Model!$C$1:$BC$1,0),   FALSE),"-")</f>
        <v>-</v>
      </c>
      <c r="I35" s="106" t="str">
        <f>IFERROR(VLOOKUP(LOWER($C33),Model!$C$2:$BC$100,MATCH(Sensors!I$10,Model!$C$1:$BC$1,0),FALSE),"-")</f>
        <v>-</v>
      </c>
      <c r="J35" s="106" t="str">
        <f>IFERROR(G35*$I35,"-")</f>
        <v>-</v>
      </c>
      <c r="K35" s="106" t="str">
        <f>IFERROR(H35*$I35,"-")</f>
        <v>-</v>
      </c>
      <c r="L35" s="106" t="str">
        <f>IFERROR(VLOOKUP(LOWER($C33),Model!$C$2:$BC$100,   MATCH(   VLOOKUP(Sensors!L$10,aux_fields,2,FALSE),      Model!$C$1:$BC$1,0),   FALSE),"-")</f>
        <v>-</v>
      </c>
      <c r="M35" s="106" t="str">
        <f>IFERROR(VLOOKUP(LOWER($C33),Model!$C$2:$BC$100,   MATCH(   VLOOKUP(Sensors!M$10,aux_fields,2,FALSE),      Model!$C$1:$BC$1,0),   FALSE),"-")</f>
        <v>-</v>
      </c>
      <c r="N35" s="106" t="str">
        <f>IFERROR(VLOOKUP(LOWER($C33),Model!$C$2:$BC$100,   MATCH(   VLOOKUP(Sensors!N$10,aux_fields,2,FALSE),      Model!$C$1:$BC$1,0),   FALSE),"-")</f>
        <v>-</v>
      </c>
      <c r="O35" s="106" t="str">
        <f>IFERROR(VLOOKUP(LOWER($C33),Model!$C$2:$BC$100,   MATCH(   VLOOKUP(Sensors!O$10,aux_fields,2,FALSE),      Model!$C$1:$BC$1,0),   FALSE),"-")</f>
        <v>-</v>
      </c>
      <c r="P35" s="106" t="str">
        <f>IFERROR(VLOOKUP(LOWER($C33),Model!$C$2:$BC$100,   MATCH(   VLOOKUP(Sensors!P$10,aux_fields,2,FALSE),      Model!$C$1:$BC$1,0),   FALSE),"-")</f>
        <v>-</v>
      </c>
      <c r="Q35" s="127"/>
      <c r="R35" s="127"/>
      <c r="S35" s="127"/>
      <c r="T35" s="127"/>
      <c r="U35" s="59"/>
    </row>
    <row r="36" spans="2:21" ht="18" customHeight="1" x14ac:dyDescent="0.4"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</row>
    <row r="37" spans="2:21" ht="18" customHeight="1" x14ac:dyDescent="0.4"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</row>
    <row r="38" spans="2:21" ht="18" customHeight="1" x14ac:dyDescent="0.4">
      <c r="B38" s="123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</row>
    <row r="39" spans="2:21" ht="18" customHeight="1" x14ac:dyDescent="0.4"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</row>
    <row r="40" spans="2:21" ht="18" customHeight="1" x14ac:dyDescent="0.4">
      <c r="B40" s="123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</row>
  </sheetData>
  <sheetProtection selectLockedCells="1"/>
  <mergeCells count="28">
    <mergeCell ref="E16:P16"/>
    <mergeCell ref="G4:P5"/>
    <mergeCell ref="G6:P7"/>
    <mergeCell ref="C10:D10"/>
    <mergeCell ref="C11:D11"/>
    <mergeCell ref="E12:P12"/>
    <mergeCell ref="E13:P13"/>
    <mergeCell ref="E25:P25"/>
    <mergeCell ref="E21:P21"/>
    <mergeCell ref="E22:P22"/>
    <mergeCell ref="E18:P18"/>
    <mergeCell ref="E19:P19"/>
    <mergeCell ref="E33:P33"/>
    <mergeCell ref="E34:P34"/>
    <mergeCell ref="C12:D14"/>
    <mergeCell ref="C24:D26"/>
    <mergeCell ref="C27:D29"/>
    <mergeCell ref="C30:D32"/>
    <mergeCell ref="C33:D35"/>
    <mergeCell ref="C21:D23"/>
    <mergeCell ref="C18:D20"/>
    <mergeCell ref="C15:D17"/>
    <mergeCell ref="E15:P15"/>
    <mergeCell ref="E30:P30"/>
    <mergeCell ref="E31:P31"/>
    <mergeCell ref="E27:P27"/>
    <mergeCell ref="E28:P28"/>
    <mergeCell ref="E24:P24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>
    <tabColor theme="0"/>
  </sheetPr>
  <dimension ref="B1:W44"/>
  <sheetViews>
    <sheetView zoomScaleNormal="10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G27" sqref="G27:H27"/>
    </sheetView>
  </sheetViews>
  <sheetFormatPr defaultColWidth="9" defaultRowHeight="18" customHeight="1" x14ac:dyDescent="0.4"/>
  <cols>
    <col min="1" max="2" width="9" style="4"/>
    <col min="3" max="3" width="9" style="4" customWidth="1"/>
    <col min="4" max="16" width="9" style="4"/>
    <col min="17" max="17" width="10.3984375" style="4" customWidth="1"/>
    <col min="18" max="22" width="9" style="4"/>
    <col min="23" max="23" width="9" style="4" customWidth="1"/>
    <col min="24" max="16384" width="9" style="4"/>
  </cols>
  <sheetData>
    <row r="1" spans="2:23" ht="15" customHeight="1" x14ac:dyDescent="0.4"/>
    <row r="2" spans="2:23" ht="15" customHeight="1" x14ac:dyDescent="0.4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2:23" ht="15" customHeight="1" x14ac:dyDescent="0.4">
      <c r="B3" s="5"/>
      <c r="W3" s="5"/>
    </row>
    <row r="4" spans="2:23" ht="15" customHeight="1" x14ac:dyDescent="0.4">
      <c r="B4" s="5"/>
      <c r="F4" s="199" t="s">
        <v>53</v>
      </c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38"/>
      <c r="R4" s="38"/>
      <c r="S4" s="38"/>
      <c r="T4" s="38"/>
      <c r="W4" s="5"/>
    </row>
    <row r="5" spans="2:23" ht="15" customHeight="1" x14ac:dyDescent="0.4">
      <c r="B5" s="5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38"/>
      <c r="R5" s="38"/>
      <c r="S5" s="38"/>
      <c r="T5" s="38"/>
      <c r="W5" s="5"/>
    </row>
    <row r="6" spans="2:23" ht="15" customHeight="1" x14ac:dyDescent="0.4">
      <c r="B6" s="5"/>
      <c r="F6" s="200" t="s">
        <v>34</v>
      </c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39"/>
      <c r="R6" s="39"/>
      <c r="S6" s="39"/>
      <c r="T6" s="39"/>
      <c r="W6" s="5"/>
    </row>
    <row r="7" spans="2:23" ht="15" customHeight="1" x14ac:dyDescent="0.4">
      <c r="B7" s="5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39"/>
      <c r="R7" s="39"/>
      <c r="S7" s="39"/>
      <c r="T7" s="39"/>
      <c r="W7" s="5"/>
    </row>
    <row r="8" spans="2:23" ht="15" customHeight="1" x14ac:dyDescent="0.4">
      <c r="B8" s="5"/>
      <c r="W8" s="5"/>
    </row>
    <row r="9" spans="2:23" ht="18" customHeight="1" x14ac:dyDescent="0.4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2:23" ht="18" customHeight="1" x14ac:dyDescent="0.4">
      <c r="B10" s="5"/>
      <c r="C10" s="381" t="s">
        <v>54</v>
      </c>
      <c r="D10" s="381"/>
      <c r="E10" s="381"/>
      <c r="F10" s="381"/>
      <c r="G10" s="382" t="s">
        <v>63</v>
      </c>
      <c r="H10" s="382"/>
      <c r="I10" s="382" t="s">
        <v>64</v>
      </c>
      <c r="J10" s="382"/>
      <c r="K10" s="383" t="s">
        <v>65</v>
      </c>
      <c r="L10" s="383"/>
      <c r="M10" s="383"/>
      <c r="N10" s="383"/>
      <c r="O10" s="383"/>
      <c r="P10" s="383"/>
      <c r="Q10" s="383" t="s">
        <v>92</v>
      </c>
      <c r="R10" s="383"/>
      <c r="S10" s="359" t="s">
        <v>104</v>
      </c>
      <c r="T10" s="359"/>
      <c r="U10" s="359"/>
      <c r="V10" s="359"/>
      <c r="W10" s="5"/>
    </row>
    <row r="11" spans="2:23" ht="18" customHeight="1" x14ac:dyDescent="0.4">
      <c r="B11" s="5"/>
      <c r="C11" s="381"/>
      <c r="D11" s="381"/>
      <c r="E11" s="381"/>
      <c r="F11" s="381"/>
      <c r="G11" s="382"/>
      <c r="H11" s="382"/>
      <c r="I11" s="382"/>
      <c r="J11" s="382"/>
      <c r="K11" s="383"/>
      <c r="L11" s="383"/>
      <c r="M11" s="383"/>
      <c r="N11" s="383"/>
      <c r="O11" s="383"/>
      <c r="P11" s="383"/>
      <c r="Q11" s="383"/>
      <c r="R11" s="383"/>
      <c r="S11" s="359"/>
      <c r="T11" s="359"/>
      <c r="U11" s="359"/>
      <c r="V11" s="359"/>
      <c r="W11" s="5"/>
    </row>
    <row r="12" spans="2:23" ht="18" customHeight="1" x14ac:dyDescent="0.4">
      <c r="B12" s="5"/>
      <c r="C12" s="40" t="s">
        <v>90</v>
      </c>
      <c r="D12" s="379" t="s">
        <v>100</v>
      </c>
      <c r="E12" s="380"/>
      <c r="F12" s="380"/>
      <c r="G12" s="370">
        <v>9.8065499999999997</v>
      </c>
      <c r="H12" s="370"/>
      <c r="I12" s="371" t="s">
        <v>102</v>
      </c>
      <c r="J12" s="372"/>
      <c r="K12" s="376" t="s">
        <v>101</v>
      </c>
      <c r="L12" s="377"/>
      <c r="M12" s="377"/>
      <c r="N12" s="377"/>
      <c r="O12" s="377"/>
      <c r="P12" s="378"/>
      <c r="Q12" s="396" t="s">
        <v>85</v>
      </c>
      <c r="R12" s="363"/>
      <c r="S12" s="360" t="s">
        <v>35</v>
      </c>
      <c r="T12" s="361"/>
      <c r="U12" s="361"/>
      <c r="V12" s="362"/>
      <c r="W12" s="5"/>
    </row>
    <row r="13" spans="2:23" ht="18" customHeight="1" x14ac:dyDescent="0.4">
      <c r="B13" s="5"/>
      <c r="C13" s="40" t="s">
        <v>88</v>
      </c>
      <c r="D13" s="380" t="s">
        <v>61</v>
      </c>
      <c r="E13" s="380"/>
      <c r="F13" s="380"/>
      <c r="G13" s="370">
        <v>6.6740800000000003E-11</v>
      </c>
      <c r="H13" s="370"/>
      <c r="I13" s="372" t="s">
        <v>56</v>
      </c>
      <c r="J13" s="372"/>
      <c r="K13" s="373" t="s">
        <v>57</v>
      </c>
      <c r="L13" s="374"/>
      <c r="M13" s="374"/>
      <c r="N13" s="374"/>
      <c r="O13" s="374"/>
      <c r="P13" s="375"/>
      <c r="Q13" s="363" t="s">
        <v>86</v>
      </c>
      <c r="R13" s="363"/>
      <c r="S13" s="360" t="s">
        <v>35</v>
      </c>
      <c r="T13" s="361"/>
      <c r="U13" s="361"/>
      <c r="V13" s="362"/>
      <c r="W13" s="5"/>
    </row>
    <row r="14" spans="2:23" ht="18" customHeight="1" x14ac:dyDescent="0.4">
      <c r="B14" s="5"/>
      <c r="C14" s="40" t="s">
        <v>89</v>
      </c>
      <c r="D14" s="380" t="s">
        <v>60</v>
      </c>
      <c r="E14" s="380"/>
      <c r="F14" s="380"/>
      <c r="G14" s="370">
        <v>299792458</v>
      </c>
      <c r="H14" s="370"/>
      <c r="I14" s="372" t="s">
        <v>59</v>
      </c>
      <c r="J14" s="372"/>
      <c r="K14" s="373" t="s">
        <v>62</v>
      </c>
      <c r="L14" s="374"/>
      <c r="M14" s="374"/>
      <c r="N14" s="374"/>
      <c r="O14" s="374"/>
      <c r="P14" s="375"/>
      <c r="Q14" s="363" t="s">
        <v>86</v>
      </c>
      <c r="R14" s="363"/>
      <c r="S14" s="360" t="s">
        <v>35</v>
      </c>
      <c r="T14" s="361"/>
      <c r="U14" s="361"/>
      <c r="V14" s="362"/>
      <c r="W14" s="5"/>
    </row>
    <row r="15" spans="2:23" ht="18" customHeight="1" x14ac:dyDescent="0.4">
      <c r="B15" s="5"/>
      <c r="C15" s="40" t="s">
        <v>91</v>
      </c>
      <c r="D15" s="380" t="s">
        <v>68</v>
      </c>
      <c r="E15" s="380"/>
      <c r="F15" s="380"/>
      <c r="G15" s="370">
        <v>1.32712440018E+20</v>
      </c>
      <c r="H15" s="370"/>
      <c r="I15" s="372" t="s">
        <v>55</v>
      </c>
      <c r="J15" s="372"/>
      <c r="K15" s="44" t="s">
        <v>77</v>
      </c>
      <c r="L15" s="386" t="s">
        <v>96</v>
      </c>
      <c r="M15" s="387"/>
      <c r="N15" s="387"/>
      <c r="O15" s="387"/>
      <c r="P15" s="388"/>
      <c r="Q15" s="363" t="s">
        <v>87</v>
      </c>
      <c r="R15" s="363"/>
      <c r="S15" s="360" t="s">
        <v>35</v>
      </c>
      <c r="T15" s="361"/>
      <c r="U15" s="361"/>
      <c r="V15" s="362"/>
      <c r="W15" s="5"/>
    </row>
    <row r="16" spans="2:23" ht="18" customHeight="1" x14ac:dyDescent="0.4">
      <c r="B16" s="5"/>
      <c r="C16" s="40" t="s">
        <v>91</v>
      </c>
      <c r="D16" s="380" t="s">
        <v>69</v>
      </c>
      <c r="E16" s="380"/>
      <c r="F16" s="380"/>
      <c r="G16" s="370">
        <v>22032000000000</v>
      </c>
      <c r="H16" s="370"/>
      <c r="I16" s="372" t="s">
        <v>55</v>
      </c>
      <c r="J16" s="372"/>
      <c r="K16" s="44" t="s">
        <v>78</v>
      </c>
      <c r="L16" s="389"/>
      <c r="M16" s="390"/>
      <c r="N16" s="390"/>
      <c r="O16" s="390"/>
      <c r="P16" s="391"/>
      <c r="Q16" s="363" t="s">
        <v>87</v>
      </c>
      <c r="R16" s="363"/>
      <c r="S16" s="360" t="s">
        <v>35</v>
      </c>
      <c r="T16" s="361"/>
      <c r="U16" s="361"/>
      <c r="V16" s="362"/>
      <c r="W16" s="5"/>
    </row>
    <row r="17" spans="2:23" ht="18" customHeight="1" x14ac:dyDescent="0.4">
      <c r="B17" s="5"/>
      <c r="C17" s="40" t="s">
        <v>91</v>
      </c>
      <c r="D17" s="380" t="s">
        <v>70</v>
      </c>
      <c r="E17" s="380"/>
      <c r="F17" s="380"/>
      <c r="G17" s="370">
        <v>324859000000000</v>
      </c>
      <c r="H17" s="370"/>
      <c r="I17" s="372" t="s">
        <v>55</v>
      </c>
      <c r="J17" s="372"/>
      <c r="K17" s="44" t="s">
        <v>79</v>
      </c>
      <c r="L17" s="389"/>
      <c r="M17" s="390"/>
      <c r="N17" s="390"/>
      <c r="O17" s="390"/>
      <c r="P17" s="391"/>
      <c r="Q17" s="363" t="s">
        <v>87</v>
      </c>
      <c r="R17" s="363"/>
      <c r="S17" s="360" t="s">
        <v>35</v>
      </c>
      <c r="T17" s="361"/>
      <c r="U17" s="361"/>
      <c r="V17" s="362"/>
      <c r="W17" s="5"/>
    </row>
    <row r="18" spans="2:23" ht="18" customHeight="1" x14ac:dyDescent="0.4">
      <c r="B18" s="5"/>
      <c r="C18" s="40" t="s">
        <v>91</v>
      </c>
      <c r="D18" s="380" t="s">
        <v>58</v>
      </c>
      <c r="E18" s="380"/>
      <c r="F18" s="380"/>
      <c r="G18" s="370">
        <v>398600000000000</v>
      </c>
      <c r="H18" s="370"/>
      <c r="I18" s="372" t="s">
        <v>55</v>
      </c>
      <c r="J18" s="372"/>
      <c r="K18" s="44" t="s">
        <v>80</v>
      </c>
      <c r="L18" s="389"/>
      <c r="M18" s="390"/>
      <c r="N18" s="390"/>
      <c r="O18" s="390"/>
      <c r="P18" s="391"/>
      <c r="Q18" s="363" t="s">
        <v>87</v>
      </c>
      <c r="R18" s="363"/>
      <c r="S18" s="360" t="s">
        <v>35</v>
      </c>
      <c r="T18" s="361"/>
      <c r="U18" s="361"/>
      <c r="V18" s="362"/>
      <c r="W18" s="5"/>
    </row>
    <row r="19" spans="2:23" ht="18" customHeight="1" x14ac:dyDescent="0.4">
      <c r="B19" s="5"/>
      <c r="C19" s="40" t="s">
        <v>91</v>
      </c>
      <c r="D19" s="380" t="s">
        <v>66</v>
      </c>
      <c r="E19" s="380"/>
      <c r="F19" s="380"/>
      <c r="G19" s="370">
        <v>4904869500000</v>
      </c>
      <c r="H19" s="370"/>
      <c r="I19" s="372" t="s">
        <v>55</v>
      </c>
      <c r="J19" s="372"/>
      <c r="K19" s="44" t="s">
        <v>81</v>
      </c>
      <c r="L19" s="389"/>
      <c r="M19" s="390"/>
      <c r="N19" s="390"/>
      <c r="O19" s="390"/>
      <c r="P19" s="391"/>
      <c r="Q19" s="363" t="s">
        <v>87</v>
      </c>
      <c r="R19" s="363"/>
      <c r="S19" s="360" t="s">
        <v>35</v>
      </c>
      <c r="T19" s="361"/>
      <c r="U19" s="361"/>
      <c r="V19" s="362"/>
      <c r="W19" s="5"/>
    </row>
    <row r="20" spans="2:23" ht="18" customHeight="1" x14ac:dyDescent="0.4">
      <c r="B20" s="5"/>
      <c r="C20" s="40" t="s">
        <v>91</v>
      </c>
      <c r="D20" s="380" t="s">
        <v>67</v>
      </c>
      <c r="E20" s="380"/>
      <c r="F20" s="380"/>
      <c r="G20" s="370">
        <v>42828370000000</v>
      </c>
      <c r="H20" s="370"/>
      <c r="I20" s="372" t="s">
        <v>55</v>
      </c>
      <c r="J20" s="372"/>
      <c r="K20" s="44" t="s">
        <v>82</v>
      </c>
      <c r="L20" s="389"/>
      <c r="M20" s="390"/>
      <c r="N20" s="390"/>
      <c r="O20" s="390"/>
      <c r="P20" s="391"/>
      <c r="Q20" s="363" t="s">
        <v>87</v>
      </c>
      <c r="R20" s="363"/>
      <c r="S20" s="360" t="s">
        <v>35</v>
      </c>
      <c r="T20" s="361"/>
      <c r="U20" s="361"/>
      <c r="V20" s="362"/>
      <c r="W20" s="5"/>
    </row>
    <row r="21" spans="2:23" ht="18" customHeight="1" x14ac:dyDescent="0.4">
      <c r="B21" s="5"/>
      <c r="C21" s="40" t="s">
        <v>91</v>
      </c>
      <c r="D21" s="380" t="s">
        <v>71</v>
      </c>
      <c r="E21" s="380"/>
      <c r="F21" s="380"/>
      <c r="G21" s="370">
        <v>1.26686534E+17</v>
      </c>
      <c r="H21" s="370"/>
      <c r="I21" s="372" t="s">
        <v>55</v>
      </c>
      <c r="J21" s="372"/>
      <c r="K21" s="44" t="s">
        <v>83</v>
      </c>
      <c r="L21" s="389"/>
      <c r="M21" s="390"/>
      <c r="N21" s="390"/>
      <c r="O21" s="390"/>
      <c r="P21" s="391"/>
      <c r="Q21" s="363" t="s">
        <v>87</v>
      </c>
      <c r="R21" s="363"/>
      <c r="S21" s="360" t="s">
        <v>35</v>
      </c>
      <c r="T21" s="361"/>
      <c r="U21" s="361"/>
      <c r="V21" s="362"/>
      <c r="W21" s="5"/>
    </row>
    <row r="22" spans="2:23" ht="18" customHeight="1" x14ac:dyDescent="0.4">
      <c r="B22" s="5"/>
      <c r="C22" s="40" t="s">
        <v>91</v>
      </c>
      <c r="D22" s="380" t="s">
        <v>72</v>
      </c>
      <c r="E22" s="380"/>
      <c r="F22" s="380"/>
      <c r="G22" s="370">
        <v>3.7931187E+16</v>
      </c>
      <c r="H22" s="370"/>
      <c r="I22" s="372" t="s">
        <v>55</v>
      </c>
      <c r="J22" s="372"/>
      <c r="K22" s="44" t="s">
        <v>84</v>
      </c>
      <c r="L22" s="392"/>
      <c r="M22" s="393"/>
      <c r="N22" s="393"/>
      <c r="O22" s="393"/>
      <c r="P22" s="394"/>
      <c r="Q22" s="363" t="s">
        <v>87</v>
      </c>
      <c r="R22" s="363"/>
      <c r="S22" s="360" t="s">
        <v>35</v>
      </c>
      <c r="T22" s="361"/>
      <c r="U22" s="361"/>
      <c r="V22" s="362"/>
      <c r="W22" s="5"/>
    </row>
    <row r="23" spans="2:23" ht="18" customHeight="1" x14ac:dyDescent="0.4">
      <c r="B23" s="5"/>
      <c r="C23" s="40" t="s">
        <v>346</v>
      </c>
      <c r="D23" s="380" t="s">
        <v>73</v>
      </c>
      <c r="E23" s="380"/>
      <c r="F23" s="380"/>
      <c r="G23" s="370">
        <v>7960000000000000</v>
      </c>
      <c r="H23" s="370"/>
      <c r="I23" s="372" t="s">
        <v>74</v>
      </c>
      <c r="J23" s="372"/>
      <c r="K23" s="44" t="s">
        <v>80</v>
      </c>
      <c r="L23" s="376" t="s">
        <v>97</v>
      </c>
      <c r="M23" s="377"/>
      <c r="N23" s="377"/>
      <c r="O23" s="377"/>
      <c r="P23" s="378"/>
      <c r="Q23" s="363" t="s">
        <v>85</v>
      </c>
      <c r="R23" s="363"/>
      <c r="S23" s="360" t="s">
        <v>35</v>
      </c>
      <c r="T23" s="361"/>
      <c r="U23" s="361"/>
      <c r="V23" s="362"/>
      <c r="W23" s="5"/>
    </row>
    <row r="24" spans="2:23" ht="18" customHeight="1" x14ac:dyDescent="0.4">
      <c r="B24" s="5"/>
      <c r="C24" s="40" t="s">
        <v>347</v>
      </c>
      <c r="D24" s="379" t="s">
        <v>95</v>
      </c>
      <c r="E24" s="380"/>
      <c r="F24" s="380"/>
      <c r="G24" s="370">
        <v>1367</v>
      </c>
      <c r="H24" s="370"/>
      <c r="I24" s="371" t="s">
        <v>94</v>
      </c>
      <c r="J24" s="372"/>
      <c r="K24" s="45" t="s">
        <v>80</v>
      </c>
      <c r="L24" s="376" t="s">
        <v>93</v>
      </c>
      <c r="M24" s="377"/>
      <c r="N24" s="377"/>
      <c r="O24" s="377"/>
      <c r="P24" s="378"/>
      <c r="Q24" s="363" t="s">
        <v>85</v>
      </c>
      <c r="R24" s="363"/>
      <c r="S24" s="360" t="s">
        <v>35</v>
      </c>
      <c r="T24" s="361"/>
      <c r="U24" s="361"/>
      <c r="V24" s="362"/>
      <c r="W24" s="5"/>
    </row>
    <row r="25" spans="2:23" ht="18" customHeight="1" x14ac:dyDescent="0.4">
      <c r="B25" s="5"/>
      <c r="C25" s="40" t="s">
        <v>682</v>
      </c>
      <c r="D25" s="379" t="s">
        <v>682</v>
      </c>
      <c r="E25" s="380"/>
      <c r="F25" s="380"/>
      <c r="G25" s="370">
        <v>1740000</v>
      </c>
      <c r="H25" s="370"/>
      <c r="I25" s="371" t="s">
        <v>110</v>
      </c>
      <c r="J25" s="372"/>
      <c r="K25" s="133" t="s">
        <v>81</v>
      </c>
      <c r="L25" s="133" t="s">
        <v>683</v>
      </c>
      <c r="M25" s="41"/>
      <c r="N25" s="41"/>
      <c r="O25" s="41"/>
      <c r="P25" s="41"/>
      <c r="Q25" s="363"/>
      <c r="R25" s="363"/>
      <c r="S25" s="360"/>
      <c r="T25" s="361"/>
      <c r="U25" s="361"/>
      <c r="V25" s="362"/>
      <c r="W25" s="5"/>
    </row>
    <row r="26" spans="2:23" ht="18" customHeight="1" x14ac:dyDescent="0.4">
      <c r="B26" s="5"/>
      <c r="C26" s="40" t="s">
        <v>684</v>
      </c>
      <c r="D26" s="379" t="s">
        <v>684</v>
      </c>
      <c r="E26" s="380"/>
      <c r="F26" s="380"/>
      <c r="G26" s="370">
        <v>6370000</v>
      </c>
      <c r="H26" s="370"/>
      <c r="I26" s="371" t="s">
        <v>110</v>
      </c>
      <c r="J26" s="372"/>
      <c r="K26" s="133" t="s">
        <v>80</v>
      </c>
      <c r="L26" s="133" t="s">
        <v>683</v>
      </c>
      <c r="M26" s="41"/>
      <c r="N26" s="41"/>
      <c r="O26" s="41"/>
      <c r="P26" s="41"/>
      <c r="Q26" s="363"/>
      <c r="R26" s="363"/>
      <c r="S26" s="360"/>
      <c r="T26" s="361"/>
      <c r="U26" s="361"/>
      <c r="V26" s="362"/>
      <c r="W26" s="5"/>
    </row>
    <row r="27" spans="2:23" ht="18" customHeight="1" x14ac:dyDescent="0.4">
      <c r="B27" s="5"/>
      <c r="C27" s="40" t="s">
        <v>845</v>
      </c>
      <c r="D27" s="379" t="s">
        <v>845</v>
      </c>
      <c r="E27" s="380"/>
      <c r="F27" s="380"/>
      <c r="G27" s="370">
        <v>695508000</v>
      </c>
      <c r="H27" s="370"/>
      <c r="I27" s="371" t="s">
        <v>110</v>
      </c>
      <c r="J27" s="372"/>
      <c r="K27" s="138" t="s">
        <v>77</v>
      </c>
      <c r="L27" s="138" t="s">
        <v>683</v>
      </c>
      <c r="M27" s="41"/>
      <c r="N27" s="41"/>
      <c r="O27" s="41"/>
      <c r="P27" s="41"/>
      <c r="Q27" s="363"/>
      <c r="R27" s="363"/>
      <c r="S27" s="360"/>
      <c r="T27" s="361"/>
      <c r="U27" s="361"/>
      <c r="V27" s="362"/>
      <c r="W27" s="5"/>
    </row>
    <row r="28" spans="2:23" ht="18" customHeight="1" x14ac:dyDescent="0.4">
      <c r="B28" s="5"/>
      <c r="C28" s="40"/>
      <c r="D28" s="380"/>
      <c r="E28" s="380"/>
      <c r="F28" s="380"/>
      <c r="G28" s="370"/>
      <c r="H28" s="370"/>
      <c r="I28" s="372"/>
      <c r="J28" s="372"/>
      <c r="K28" s="41"/>
      <c r="L28" s="41"/>
      <c r="M28" s="41"/>
      <c r="N28" s="41"/>
      <c r="O28" s="41"/>
      <c r="P28" s="41"/>
      <c r="Q28" s="363"/>
      <c r="R28" s="363"/>
      <c r="S28" s="360"/>
      <c r="T28" s="361"/>
      <c r="U28" s="361"/>
      <c r="V28" s="362"/>
      <c r="W28" s="5"/>
    </row>
    <row r="29" spans="2:23" ht="18" customHeight="1" x14ac:dyDescent="0.4">
      <c r="B29" s="5"/>
      <c r="C29" s="40"/>
      <c r="D29" s="380"/>
      <c r="E29" s="380"/>
      <c r="F29" s="380"/>
      <c r="G29" s="370"/>
      <c r="H29" s="370"/>
      <c r="I29" s="372"/>
      <c r="J29" s="372"/>
      <c r="K29" s="41"/>
      <c r="L29" s="41"/>
      <c r="M29" s="41"/>
      <c r="N29" s="41"/>
      <c r="O29" s="41"/>
      <c r="P29" s="41"/>
      <c r="Q29" s="363"/>
      <c r="R29" s="363"/>
      <c r="S29" s="360"/>
      <c r="T29" s="361"/>
      <c r="U29" s="361"/>
      <c r="V29" s="362"/>
      <c r="W29" s="5"/>
    </row>
    <row r="30" spans="2:23" ht="18" customHeight="1" x14ac:dyDescent="0.4">
      <c r="B30" s="5"/>
      <c r="C30" s="381" t="s">
        <v>253</v>
      </c>
      <c r="D30" s="381"/>
      <c r="E30" s="381"/>
      <c r="F30" s="381"/>
      <c r="G30" s="382" t="s">
        <v>63</v>
      </c>
      <c r="H30" s="382"/>
      <c r="I30" s="382" t="s">
        <v>64</v>
      </c>
      <c r="J30" s="382"/>
      <c r="K30" s="383" t="s">
        <v>65</v>
      </c>
      <c r="L30" s="383"/>
      <c r="M30" s="383"/>
      <c r="N30" s="383"/>
      <c r="O30" s="383"/>
      <c r="P30" s="383"/>
      <c r="Q30" s="383" t="s">
        <v>92</v>
      </c>
      <c r="R30" s="383"/>
      <c r="S30" s="359" t="s">
        <v>104</v>
      </c>
      <c r="T30" s="359"/>
      <c r="U30" s="359"/>
      <c r="V30" s="359"/>
      <c r="W30" s="5"/>
    </row>
    <row r="31" spans="2:23" ht="18" customHeight="1" x14ac:dyDescent="0.4">
      <c r="B31" s="5"/>
      <c r="C31" s="381"/>
      <c r="D31" s="381"/>
      <c r="E31" s="381"/>
      <c r="F31" s="381"/>
      <c r="G31" s="382"/>
      <c r="H31" s="382"/>
      <c r="I31" s="382"/>
      <c r="J31" s="382"/>
      <c r="K31" s="383"/>
      <c r="L31" s="383"/>
      <c r="M31" s="383"/>
      <c r="N31" s="383"/>
      <c r="O31" s="383"/>
      <c r="P31" s="383"/>
      <c r="Q31" s="383"/>
      <c r="R31" s="383"/>
      <c r="S31" s="359"/>
      <c r="T31" s="359"/>
      <c r="U31" s="359"/>
      <c r="V31" s="359"/>
      <c r="W31" s="5"/>
    </row>
    <row r="32" spans="2:23" ht="18" customHeight="1" x14ac:dyDescent="0.4">
      <c r="B32" s="5"/>
      <c r="C32" s="40"/>
      <c r="D32" s="379" t="s">
        <v>251</v>
      </c>
      <c r="E32" s="380"/>
      <c r="F32" s="380"/>
      <c r="G32" s="370">
        <f>180/PI()</f>
        <v>57.295779513082323</v>
      </c>
      <c r="H32" s="370"/>
      <c r="I32" s="372"/>
      <c r="J32" s="372"/>
      <c r="K32" s="41"/>
      <c r="L32" s="41"/>
      <c r="M32" s="41"/>
      <c r="N32" s="41"/>
      <c r="O32" s="41"/>
      <c r="P32" s="41"/>
      <c r="Q32" s="363"/>
      <c r="R32" s="363"/>
      <c r="S32" s="360"/>
      <c r="T32" s="361"/>
      <c r="U32" s="361"/>
      <c r="V32" s="362"/>
      <c r="W32" s="5"/>
    </row>
    <row r="33" spans="2:23" ht="18" customHeight="1" x14ac:dyDescent="0.4">
      <c r="B33" s="5"/>
      <c r="C33" s="40"/>
      <c r="D33" s="379" t="s">
        <v>252</v>
      </c>
      <c r="E33" s="380"/>
      <c r="F33" s="380"/>
      <c r="G33" s="370">
        <f>PI()/180</f>
        <v>1.7453292519943295E-2</v>
      </c>
      <c r="H33" s="370"/>
      <c r="I33" s="372"/>
      <c r="J33" s="372"/>
      <c r="K33" s="47"/>
      <c r="L33" s="47"/>
      <c r="M33" s="47"/>
      <c r="N33" s="47"/>
      <c r="O33" s="47"/>
      <c r="P33" s="47"/>
      <c r="Q33" s="363"/>
      <c r="R33" s="363"/>
      <c r="S33" s="360"/>
      <c r="T33" s="361"/>
      <c r="U33" s="361"/>
      <c r="V33" s="362"/>
      <c r="W33" s="5"/>
    </row>
    <row r="34" spans="2:23" ht="18" customHeight="1" x14ac:dyDescent="0.4">
      <c r="B34" s="5"/>
      <c r="C34" s="40"/>
      <c r="D34" s="379" t="s">
        <v>270</v>
      </c>
      <c r="E34" s="380"/>
      <c r="F34" s="380"/>
      <c r="G34" s="372">
        <f>2*PI()/60</f>
        <v>0.10471975511965977</v>
      </c>
      <c r="H34" s="372"/>
      <c r="I34" s="372"/>
      <c r="J34" s="372"/>
      <c r="K34" s="47"/>
      <c r="L34" s="47"/>
      <c r="M34" s="47"/>
      <c r="N34" s="47"/>
      <c r="O34" s="47"/>
      <c r="P34" s="47"/>
      <c r="Q34" s="363"/>
      <c r="R34" s="363"/>
      <c r="S34" s="360"/>
      <c r="T34" s="361"/>
      <c r="U34" s="361"/>
      <c r="V34" s="362"/>
      <c r="W34" s="5"/>
    </row>
    <row r="35" spans="2:23" ht="18" customHeight="1" x14ac:dyDescent="0.4">
      <c r="B35" s="5"/>
      <c r="C35" s="40"/>
      <c r="D35" s="380"/>
      <c r="E35" s="380"/>
      <c r="F35" s="380"/>
      <c r="G35" s="372"/>
      <c r="H35" s="372"/>
      <c r="I35" s="372"/>
      <c r="J35" s="372"/>
      <c r="K35" s="41"/>
      <c r="L35" s="41"/>
      <c r="M35" s="41"/>
      <c r="N35" s="41"/>
      <c r="O35" s="41"/>
      <c r="P35" s="41"/>
      <c r="Q35" s="363"/>
      <c r="R35" s="363"/>
      <c r="S35" s="360"/>
      <c r="T35" s="361"/>
      <c r="U35" s="361"/>
      <c r="V35" s="362"/>
      <c r="W35" s="5"/>
    </row>
    <row r="36" spans="2:23" ht="18" customHeight="1" x14ac:dyDescent="0.4">
      <c r="B36" s="5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5"/>
    </row>
    <row r="37" spans="2:23" ht="18" customHeight="1" x14ac:dyDescent="0.4">
      <c r="B37" s="5"/>
      <c r="C37" s="381" t="s">
        <v>98</v>
      </c>
      <c r="D37" s="382" t="s">
        <v>92</v>
      </c>
      <c r="E37" s="382"/>
      <c r="F37" s="382"/>
      <c r="G37" s="382"/>
      <c r="H37" s="382"/>
      <c r="I37" s="382"/>
      <c r="J37" s="382"/>
      <c r="K37" s="382"/>
      <c r="L37" s="382"/>
      <c r="M37" s="382"/>
      <c r="N37" s="382"/>
      <c r="O37" s="382"/>
      <c r="P37" s="382"/>
      <c r="Q37" s="395" t="s">
        <v>99</v>
      </c>
      <c r="R37" s="395"/>
      <c r="S37" s="29"/>
      <c r="T37" s="29"/>
      <c r="U37" s="29"/>
      <c r="V37" s="29"/>
      <c r="W37" s="5"/>
    </row>
    <row r="38" spans="2:23" ht="18" customHeight="1" x14ac:dyDescent="0.4">
      <c r="B38" s="5"/>
      <c r="C38" s="381"/>
      <c r="D38" s="382"/>
      <c r="E38" s="382"/>
      <c r="F38" s="382"/>
      <c r="G38" s="382"/>
      <c r="H38" s="382"/>
      <c r="I38" s="382"/>
      <c r="J38" s="382"/>
      <c r="K38" s="382"/>
      <c r="L38" s="382"/>
      <c r="M38" s="382"/>
      <c r="N38" s="382"/>
      <c r="O38" s="382"/>
      <c r="P38" s="382"/>
      <c r="Q38" s="395"/>
      <c r="R38" s="395"/>
      <c r="S38" s="29"/>
      <c r="T38" s="29"/>
      <c r="U38" s="29"/>
      <c r="V38" s="29"/>
      <c r="W38" s="5"/>
    </row>
    <row r="39" spans="2:23" ht="18" customHeight="1" x14ac:dyDescent="0.4">
      <c r="B39" s="5"/>
      <c r="C39" s="35" t="s">
        <v>85</v>
      </c>
      <c r="D39" s="364" t="s">
        <v>103</v>
      </c>
      <c r="E39" s="365"/>
      <c r="F39" s="365"/>
      <c r="G39" s="365"/>
      <c r="H39" s="365"/>
      <c r="I39" s="365"/>
      <c r="J39" s="365"/>
      <c r="K39" s="365"/>
      <c r="L39" s="365"/>
      <c r="M39" s="365"/>
      <c r="N39" s="365"/>
      <c r="O39" s="365"/>
      <c r="P39" s="366"/>
      <c r="Q39" s="360"/>
      <c r="R39" s="362"/>
      <c r="S39" s="29"/>
      <c r="T39" s="29"/>
      <c r="U39" s="29"/>
      <c r="V39" s="29"/>
      <c r="W39" s="5"/>
    </row>
    <row r="40" spans="2:23" ht="18" customHeight="1" x14ac:dyDescent="0.4">
      <c r="B40" s="5"/>
      <c r="C40" s="42" t="s">
        <v>86</v>
      </c>
      <c r="D40" s="367" t="s">
        <v>76</v>
      </c>
      <c r="E40" s="368"/>
      <c r="F40" s="368"/>
      <c r="G40" s="368"/>
      <c r="H40" s="368"/>
      <c r="I40" s="368"/>
      <c r="J40" s="368"/>
      <c r="K40" s="368"/>
      <c r="L40" s="368"/>
      <c r="M40" s="368"/>
      <c r="N40" s="368"/>
      <c r="O40" s="368"/>
      <c r="P40" s="369"/>
      <c r="Q40" s="384">
        <v>43257</v>
      </c>
      <c r="R40" s="385"/>
      <c r="S40" s="29"/>
      <c r="T40" s="29"/>
      <c r="U40" s="29"/>
      <c r="V40" s="29"/>
      <c r="W40" s="5"/>
    </row>
    <row r="41" spans="2:23" ht="18" customHeight="1" x14ac:dyDescent="0.4">
      <c r="B41" s="5"/>
      <c r="C41" s="42" t="s">
        <v>87</v>
      </c>
      <c r="D41" s="367" t="s">
        <v>75</v>
      </c>
      <c r="E41" s="368"/>
      <c r="F41" s="368"/>
      <c r="G41" s="368"/>
      <c r="H41" s="368"/>
      <c r="I41" s="368"/>
      <c r="J41" s="368"/>
      <c r="K41" s="368"/>
      <c r="L41" s="368"/>
      <c r="M41" s="368"/>
      <c r="N41" s="368"/>
      <c r="O41" s="368"/>
      <c r="P41" s="369"/>
      <c r="Q41" s="384">
        <v>43257</v>
      </c>
      <c r="R41" s="385"/>
      <c r="S41" s="29"/>
      <c r="T41" s="29"/>
      <c r="U41" s="29"/>
      <c r="V41" s="43"/>
      <c r="W41" s="5"/>
    </row>
    <row r="42" spans="2:23" ht="18" customHeight="1" x14ac:dyDescent="0.4">
      <c r="B42" s="5"/>
      <c r="C42" s="42" t="s">
        <v>220</v>
      </c>
      <c r="D42" s="364" t="s">
        <v>221</v>
      </c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6"/>
      <c r="Q42" s="360"/>
      <c r="R42" s="362"/>
      <c r="S42" s="29"/>
      <c r="T42" s="29"/>
      <c r="U42" s="29"/>
      <c r="V42" s="29"/>
      <c r="W42" s="5"/>
    </row>
    <row r="43" spans="2:23" ht="18" customHeight="1" x14ac:dyDescent="0.4">
      <c r="B43" s="5"/>
      <c r="C43" s="35"/>
      <c r="D43" s="367"/>
      <c r="E43" s="368"/>
      <c r="F43" s="368"/>
      <c r="G43" s="368"/>
      <c r="H43" s="368"/>
      <c r="I43" s="368"/>
      <c r="J43" s="368"/>
      <c r="K43" s="368"/>
      <c r="L43" s="368"/>
      <c r="M43" s="368"/>
      <c r="N43" s="368"/>
      <c r="O43" s="368"/>
      <c r="P43" s="369"/>
      <c r="Q43" s="360"/>
      <c r="R43" s="362"/>
      <c r="S43" s="29"/>
      <c r="T43" s="29"/>
      <c r="U43" s="29"/>
      <c r="V43" s="29"/>
      <c r="W43" s="5"/>
    </row>
    <row r="44" spans="2:23" ht="18" customHeight="1" x14ac:dyDescent="0.4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</sheetData>
  <sheetProtection selectLockedCells="1" selectUnlockedCells="1"/>
  <mergeCells count="143">
    <mergeCell ref="D12:F12"/>
    <mergeCell ref="G12:H12"/>
    <mergeCell ref="I12:J12"/>
    <mergeCell ref="Q12:R12"/>
    <mergeCell ref="S10:V11"/>
    <mergeCell ref="D22:F22"/>
    <mergeCell ref="D23:F23"/>
    <mergeCell ref="D24:F24"/>
    <mergeCell ref="D25:F25"/>
    <mergeCell ref="G21:H21"/>
    <mergeCell ref="C10:F11"/>
    <mergeCell ref="G13:H13"/>
    <mergeCell ref="G14:H14"/>
    <mergeCell ref="G15:H15"/>
    <mergeCell ref="G10:H11"/>
    <mergeCell ref="Q15:R15"/>
    <mergeCell ref="Q13:R13"/>
    <mergeCell ref="Q14:R14"/>
    <mergeCell ref="Q23:R23"/>
    <mergeCell ref="Q24:R24"/>
    <mergeCell ref="Q25:R25"/>
    <mergeCell ref="Q16:R16"/>
    <mergeCell ref="G16:H16"/>
    <mergeCell ref="I16:J16"/>
    <mergeCell ref="D13:F13"/>
    <mergeCell ref="D14:F14"/>
    <mergeCell ref="D15:F15"/>
    <mergeCell ref="D16:F16"/>
    <mergeCell ref="D17:F17"/>
    <mergeCell ref="D18:F18"/>
    <mergeCell ref="D19:F19"/>
    <mergeCell ref="D20:F20"/>
    <mergeCell ref="D21:F21"/>
    <mergeCell ref="C37:C38"/>
    <mergeCell ref="D37:P38"/>
    <mergeCell ref="Q37:R38"/>
    <mergeCell ref="Q10:R11"/>
    <mergeCell ref="K10:P11"/>
    <mergeCell ref="G22:H22"/>
    <mergeCell ref="I22:J22"/>
    <mergeCell ref="G23:H23"/>
    <mergeCell ref="I23:J23"/>
    <mergeCell ref="G25:H25"/>
    <mergeCell ref="I25:J25"/>
    <mergeCell ref="G26:H26"/>
    <mergeCell ref="I26:J26"/>
    <mergeCell ref="I10:J11"/>
    <mergeCell ref="I13:J13"/>
    <mergeCell ref="I14:J14"/>
    <mergeCell ref="I21:J21"/>
    <mergeCell ref="I20:J20"/>
    <mergeCell ref="G20:H20"/>
    <mergeCell ref="D26:F26"/>
    <mergeCell ref="D27:F27"/>
    <mergeCell ref="D28:F28"/>
    <mergeCell ref="D29:F29"/>
    <mergeCell ref="G17:H17"/>
    <mergeCell ref="I17:J17"/>
    <mergeCell ref="Q17:R17"/>
    <mergeCell ref="I15:J15"/>
    <mergeCell ref="G19:H19"/>
    <mergeCell ref="I19:J19"/>
    <mergeCell ref="G18:H18"/>
    <mergeCell ref="I18:J18"/>
    <mergeCell ref="G29:H29"/>
    <mergeCell ref="I29:J29"/>
    <mergeCell ref="G24:H24"/>
    <mergeCell ref="I24:J24"/>
    <mergeCell ref="Q21:R21"/>
    <mergeCell ref="Q22:R22"/>
    <mergeCell ref="Q18:R18"/>
    <mergeCell ref="Q19:R19"/>
    <mergeCell ref="Q20:R20"/>
    <mergeCell ref="Q27:R27"/>
    <mergeCell ref="Q26:R26"/>
    <mergeCell ref="Q29:R29"/>
    <mergeCell ref="L15:P22"/>
    <mergeCell ref="G32:H32"/>
    <mergeCell ref="I32:J32"/>
    <mergeCell ref="Q32:R32"/>
    <mergeCell ref="D39:P39"/>
    <mergeCell ref="D40:P40"/>
    <mergeCell ref="D41:P41"/>
    <mergeCell ref="D32:F32"/>
    <mergeCell ref="D35:F35"/>
    <mergeCell ref="C30:F31"/>
    <mergeCell ref="G30:H31"/>
    <mergeCell ref="I30:J31"/>
    <mergeCell ref="K30:P31"/>
    <mergeCell ref="Q30:R31"/>
    <mergeCell ref="D33:F33"/>
    <mergeCell ref="G33:H33"/>
    <mergeCell ref="I33:J33"/>
    <mergeCell ref="Q33:R33"/>
    <mergeCell ref="D34:F34"/>
    <mergeCell ref="G34:H34"/>
    <mergeCell ref="I34:J34"/>
    <mergeCell ref="Q41:R41"/>
    <mergeCell ref="Q40:R40"/>
    <mergeCell ref="I35:J35"/>
    <mergeCell ref="Q35:R35"/>
    <mergeCell ref="K14:P14"/>
    <mergeCell ref="K13:P13"/>
    <mergeCell ref="K12:P12"/>
    <mergeCell ref="L23:P23"/>
    <mergeCell ref="L24:P24"/>
    <mergeCell ref="S12:V12"/>
    <mergeCell ref="S13:V13"/>
    <mergeCell ref="S14:V14"/>
    <mergeCell ref="S15:V15"/>
    <mergeCell ref="S16:V16"/>
    <mergeCell ref="S17:V17"/>
    <mergeCell ref="S18:V18"/>
    <mergeCell ref="S19:V19"/>
    <mergeCell ref="S20:V20"/>
    <mergeCell ref="S21:V21"/>
    <mergeCell ref="S22:V22"/>
    <mergeCell ref="S23:V23"/>
    <mergeCell ref="S24:V24"/>
    <mergeCell ref="S30:V31"/>
    <mergeCell ref="S33:V33"/>
    <mergeCell ref="Q34:R34"/>
    <mergeCell ref="S34:V34"/>
    <mergeCell ref="F4:P5"/>
    <mergeCell ref="F6:P7"/>
    <mergeCell ref="D42:P42"/>
    <mergeCell ref="D43:P43"/>
    <mergeCell ref="Q39:R39"/>
    <mergeCell ref="Q42:R42"/>
    <mergeCell ref="Q43:R43"/>
    <mergeCell ref="S25:V25"/>
    <mergeCell ref="S26:V26"/>
    <mergeCell ref="S27:V27"/>
    <mergeCell ref="S28:V28"/>
    <mergeCell ref="S29:V29"/>
    <mergeCell ref="S32:V32"/>
    <mergeCell ref="S35:V35"/>
    <mergeCell ref="Q28:R28"/>
    <mergeCell ref="G27:H27"/>
    <mergeCell ref="I27:J27"/>
    <mergeCell ref="G28:H28"/>
    <mergeCell ref="I28:J28"/>
    <mergeCell ref="G35:H35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9"/>
  <dimension ref="B1:W59"/>
  <sheetViews>
    <sheetView topLeftCell="A4" zoomScaleNormal="100" workbookViewId="0">
      <selection activeCell="M12" sqref="M12"/>
    </sheetView>
  </sheetViews>
  <sheetFormatPr defaultColWidth="9" defaultRowHeight="18" customHeight="1" x14ac:dyDescent="0.4"/>
  <cols>
    <col min="1" max="14" width="9" style="4"/>
    <col min="15" max="15" width="11" style="4" customWidth="1"/>
    <col min="16" max="16384" width="9" style="4"/>
  </cols>
  <sheetData>
    <row r="1" spans="2:23" ht="15" customHeight="1" x14ac:dyDescent="0.4"/>
    <row r="2" spans="2:23" ht="15" customHeight="1" x14ac:dyDescent="0.4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2:23" ht="15" customHeight="1" x14ac:dyDescent="0.4">
      <c r="B3" s="5"/>
      <c r="W3" s="59"/>
    </row>
    <row r="4" spans="2:23" ht="15" customHeight="1" x14ac:dyDescent="0.4">
      <c r="B4" s="5"/>
      <c r="F4" s="199" t="s">
        <v>53</v>
      </c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91"/>
      <c r="S4" s="91"/>
      <c r="T4" s="91"/>
      <c r="U4" s="91"/>
      <c r="W4" s="59"/>
    </row>
    <row r="5" spans="2:23" ht="15" customHeight="1" x14ac:dyDescent="0.4">
      <c r="B5" s="5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91"/>
      <c r="S5" s="91"/>
      <c r="T5" s="91"/>
      <c r="U5" s="91"/>
      <c r="W5" s="59"/>
    </row>
    <row r="6" spans="2:23" ht="15" customHeight="1" x14ac:dyDescent="0.4">
      <c r="B6" s="5"/>
      <c r="F6" s="200" t="s">
        <v>30</v>
      </c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39"/>
      <c r="S6" s="39"/>
      <c r="T6" s="39"/>
      <c r="U6" s="39"/>
      <c r="W6" s="59"/>
    </row>
    <row r="7" spans="2:23" ht="15" customHeight="1" x14ac:dyDescent="0.4">
      <c r="B7" s="5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39"/>
      <c r="S7" s="39"/>
      <c r="T7" s="39"/>
      <c r="U7" s="39"/>
      <c r="W7" s="59"/>
    </row>
    <row r="8" spans="2:23" ht="15" customHeight="1" x14ac:dyDescent="0.4">
      <c r="B8" s="5"/>
      <c r="W8" s="59"/>
    </row>
    <row r="9" spans="2:23" ht="18" customHeight="1" x14ac:dyDescent="0.4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9"/>
    </row>
    <row r="10" spans="2:23" ht="18" customHeight="1" x14ac:dyDescent="0.4">
      <c r="B10" s="5"/>
      <c r="C10" s="5"/>
      <c r="D10" s="405" t="s">
        <v>32</v>
      </c>
      <c r="E10" s="406"/>
      <c r="F10" s="406"/>
      <c r="G10" s="407"/>
      <c r="H10" s="5"/>
      <c r="I10" s="405" t="s">
        <v>33</v>
      </c>
      <c r="J10" s="406"/>
      <c r="K10" s="406"/>
      <c r="L10" s="407"/>
      <c r="M10" s="5"/>
      <c r="N10" s="405" t="s">
        <v>37</v>
      </c>
      <c r="O10" s="406"/>
      <c r="P10" s="406"/>
      <c r="Q10" s="407"/>
      <c r="R10" s="5"/>
      <c r="S10" s="59"/>
      <c r="T10" s="400" t="s">
        <v>592</v>
      </c>
      <c r="U10" s="401"/>
      <c r="V10" s="5"/>
      <c r="W10" s="59"/>
    </row>
    <row r="11" spans="2:23" ht="18" customHeight="1" x14ac:dyDescent="0.4">
      <c r="B11" s="5"/>
      <c r="C11" s="5"/>
      <c r="D11" s="408"/>
      <c r="E11" s="409"/>
      <c r="F11" s="409"/>
      <c r="G11" s="410"/>
      <c r="H11" s="5"/>
      <c r="I11" s="408"/>
      <c r="J11" s="409"/>
      <c r="K11" s="409"/>
      <c r="L11" s="410"/>
      <c r="M11" s="5"/>
      <c r="N11" s="408"/>
      <c r="O11" s="409"/>
      <c r="P11" s="409"/>
      <c r="Q11" s="410"/>
      <c r="R11" s="5"/>
      <c r="S11" s="59"/>
      <c r="T11" s="57" t="s">
        <v>599</v>
      </c>
      <c r="U11" s="107" t="s">
        <v>591</v>
      </c>
      <c r="V11" s="5"/>
      <c r="W11" s="59"/>
    </row>
    <row r="12" spans="2:23" ht="18" customHeight="1" x14ac:dyDescent="0.4">
      <c r="B12" s="5"/>
      <c r="C12" s="5"/>
      <c r="D12" s="147" t="s">
        <v>22</v>
      </c>
      <c r="E12" s="148"/>
      <c r="F12" s="148"/>
      <c r="G12" s="149"/>
      <c r="H12" s="5"/>
      <c r="I12" s="147" t="s">
        <v>28</v>
      </c>
      <c r="J12" s="148"/>
      <c r="K12" s="148"/>
      <c r="L12" s="149"/>
      <c r="M12" s="5"/>
      <c r="N12" s="147" t="s">
        <v>38</v>
      </c>
      <c r="O12" s="148"/>
      <c r="P12" s="148"/>
      <c r="Q12" s="149"/>
      <c r="R12" s="5"/>
      <c r="S12" s="59"/>
      <c r="T12" s="115" t="s">
        <v>593</v>
      </c>
      <c r="U12" s="114" t="s">
        <v>365</v>
      </c>
      <c r="V12" s="5"/>
      <c r="W12" s="59"/>
    </row>
    <row r="13" spans="2:23" ht="18" customHeight="1" x14ac:dyDescent="0.4">
      <c r="B13" s="5"/>
      <c r="C13" s="5"/>
      <c r="D13" s="147" t="s">
        <v>23</v>
      </c>
      <c r="E13" s="148"/>
      <c r="F13" s="148"/>
      <c r="G13" s="149"/>
      <c r="H13" s="5"/>
      <c r="I13" s="147" t="s">
        <v>29</v>
      </c>
      <c r="J13" s="148"/>
      <c r="K13" s="148"/>
      <c r="L13" s="149"/>
      <c r="M13" s="5"/>
      <c r="N13" s="147" t="s">
        <v>39</v>
      </c>
      <c r="O13" s="148"/>
      <c r="P13" s="148"/>
      <c r="Q13" s="149"/>
      <c r="R13" s="5"/>
      <c r="S13" s="59"/>
      <c r="T13" s="115" t="s">
        <v>596</v>
      </c>
      <c r="U13" s="114" t="s">
        <v>366</v>
      </c>
      <c r="V13" s="5"/>
      <c r="W13" s="5"/>
    </row>
    <row r="14" spans="2:23" ht="18" customHeight="1" x14ac:dyDescent="0.4">
      <c r="B14" s="5"/>
      <c r="C14" s="5"/>
      <c r="D14" s="147" t="s">
        <v>24</v>
      </c>
      <c r="E14" s="148"/>
      <c r="F14" s="148"/>
      <c r="G14" s="149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9"/>
      <c r="T14" s="115" t="s">
        <v>597</v>
      </c>
      <c r="U14" s="114" t="s">
        <v>367</v>
      </c>
      <c r="V14" s="5"/>
      <c r="W14" s="5"/>
    </row>
    <row r="15" spans="2:23" ht="18" customHeight="1" x14ac:dyDescent="0.4">
      <c r="B15" s="5"/>
      <c r="C15" s="5"/>
      <c r="D15" s="147" t="s">
        <v>25</v>
      </c>
      <c r="E15" s="148"/>
      <c r="F15" s="148"/>
      <c r="G15" s="149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9"/>
      <c r="T15" s="115" t="s">
        <v>598</v>
      </c>
      <c r="U15" s="114" t="s">
        <v>368</v>
      </c>
      <c r="V15" s="5"/>
      <c r="W15" s="5"/>
    </row>
    <row r="16" spans="2:23" ht="18" customHeight="1" x14ac:dyDescent="0.4">
      <c r="B16" s="5"/>
      <c r="C16" s="5"/>
      <c r="D16" s="147" t="s">
        <v>26</v>
      </c>
      <c r="E16" s="148"/>
      <c r="F16" s="148"/>
      <c r="G16" s="149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9"/>
      <c r="T16" s="115" t="s">
        <v>292</v>
      </c>
      <c r="U16" s="114" t="s">
        <v>369</v>
      </c>
      <c r="V16" s="5"/>
      <c r="W16" s="5"/>
    </row>
    <row r="17" spans="2:23" ht="18" customHeight="1" x14ac:dyDescent="0.4">
      <c r="B17" s="5"/>
      <c r="C17" s="5"/>
      <c r="D17" s="147" t="s">
        <v>27</v>
      </c>
      <c r="E17" s="148"/>
      <c r="F17" s="148"/>
      <c r="G17" s="149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9"/>
      <c r="T17" s="115" t="s">
        <v>202</v>
      </c>
      <c r="U17" s="114" t="s">
        <v>370</v>
      </c>
      <c r="V17" s="5"/>
      <c r="W17" s="5"/>
    </row>
    <row r="18" spans="2:23" ht="18" customHeight="1" x14ac:dyDescent="0.4">
      <c r="B18" s="5"/>
      <c r="C18" s="5"/>
      <c r="D18" s="147" t="s">
        <v>31</v>
      </c>
      <c r="E18" s="148"/>
      <c r="F18" s="148"/>
      <c r="G18" s="149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9"/>
      <c r="T18" s="115" t="s">
        <v>271</v>
      </c>
      <c r="U18" s="114" t="s">
        <v>371</v>
      </c>
      <c r="V18" s="5"/>
      <c r="W18" s="5"/>
    </row>
    <row r="19" spans="2:23" ht="18" customHeight="1" x14ac:dyDescent="0.4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9"/>
      <c r="T19" s="115" t="s">
        <v>602</v>
      </c>
      <c r="U19" s="114" t="s">
        <v>372</v>
      </c>
      <c r="V19" s="5"/>
      <c r="W19" s="5"/>
    </row>
    <row r="20" spans="2:23" ht="18" customHeight="1" x14ac:dyDescent="0.4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9"/>
      <c r="T20" s="115" t="s">
        <v>594</v>
      </c>
      <c r="U20" s="114" t="s">
        <v>373</v>
      </c>
      <c r="V20" s="5"/>
      <c r="W20" s="5"/>
    </row>
    <row r="21" spans="2:23" ht="18" customHeight="1" x14ac:dyDescent="0.4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9"/>
      <c r="T21" s="115" t="s">
        <v>607</v>
      </c>
      <c r="U21" s="114" t="s">
        <v>186</v>
      </c>
      <c r="V21" s="5"/>
      <c r="W21" s="5"/>
    </row>
    <row r="22" spans="2:23" ht="18" customHeight="1" x14ac:dyDescent="0.4">
      <c r="B22" s="5"/>
      <c r="C22" s="5"/>
      <c r="D22" s="405" t="s">
        <v>223</v>
      </c>
      <c r="E22" s="406"/>
      <c r="F22" s="406"/>
      <c r="G22" s="407"/>
      <c r="H22" s="5"/>
      <c r="I22" s="405" t="s">
        <v>229</v>
      </c>
      <c r="J22" s="406"/>
      <c r="K22" s="406"/>
      <c r="L22" s="407"/>
      <c r="M22" s="5"/>
      <c r="N22" s="57" t="s">
        <v>259</v>
      </c>
      <c r="O22" s="82" t="s">
        <v>263</v>
      </c>
      <c r="P22" s="5"/>
      <c r="Q22" s="57"/>
      <c r="R22" s="5"/>
      <c r="S22" s="59"/>
      <c r="T22" s="115" t="s">
        <v>600</v>
      </c>
      <c r="U22" s="114" t="s">
        <v>374</v>
      </c>
      <c r="V22" s="5"/>
      <c r="W22" s="5"/>
    </row>
    <row r="23" spans="2:23" ht="18" customHeight="1" x14ac:dyDescent="0.4">
      <c r="B23" s="5"/>
      <c r="C23" s="5"/>
      <c r="D23" s="147" t="s">
        <v>224</v>
      </c>
      <c r="E23" s="148"/>
      <c r="F23" s="148"/>
      <c r="G23" s="149"/>
      <c r="H23" s="5"/>
      <c r="I23" s="147" t="s">
        <v>39</v>
      </c>
      <c r="J23" s="148"/>
      <c r="K23" s="148"/>
      <c r="L23" s="149"/>
      <c r="M23" s="5"/>
      <c r="N23" s="58" t="s">
        <v>260</v>
      </c>
      <c r="O23" s="116">
        <f>inertia_m_x</f>
        <v>0.4</v>
      </c>
      <c r="P23" s="5"/>
      <c r="Q23" s="58" t="s">
        <v>312</v>
      </c>
      <c r="R23" s="5"/>
      <c r="S23" s="59"/>
      <c r="T23" s="115" t="s">
        <v>595</v>
      </c>
      <c r="U23" s="114" t="s">
        <v>375</v>
      </c>
      <c r="V23" s="5"/>
      <c r="W23" s="5"/>
    </row>
    <row r="24" spans="2:23" ht="18" customHeight="1" x14ac:dyDescent="0.4">
      <c r="B24" s="5"/>
      <c r="C24" s="5"/>
      <c r="D24" s="147" t="s">
        <v>225</v>
      </c>
      <c r="E24" s="148"/>
      <c r="F24" s="148"/>
      <c r="G24" s="149"/>
      <c r="H24" s="5"/>
      <c r="I24" s="147" t="s">
        <v>230</v>
      </c>
      <c r="J24" s="148"/>
      <c r="K24" s="148"/>
      <c r="L24" s="149"/>
      <c r="M24" s="5"/>
      <c r="N24" s="58" t="s">
        <v>261</v>
      </c>
      <c r="O24" s="116">
        <f>inertia_m_y</f>
        <v>0.2</v>
      </c>
      <c r="P24" s="5"/>
      <c r="Q24" s="89" t="s">
        <v>313</v>
      </c>
      <c r="R24" s="5"/>
      <c r="S24" s="59"/>
      <c r="T24" s="115" t="s">
        <v>603</v>
      </c>
      <c r="U24" s="114" t="s">
        <v>376</v>
      </c>
      <c r="V24" s="5"/>
      <c r="W24" s="5"/>
    </row>
    <row r="25" spans="2:23" ht="18" customHeight="1" x14ac:dyDescent="0.4">
      <c r="B25" s="5"/>
      <c r="C25" s="5"/>
      <c r="D25" s="147" t="s">
        <v>226</v>
      </c>
      <c r="E25" s="148"/>
      <c r="F25" s="148"/>
      <c r="G25" s="149"/>
      <c r="H25" s="5"/>
      <c r="I25" s="147" t="s">
        <v>231</v>
      </c>
      <c r="J25" s="148"/>
      <c r="K25" s="148"/>
      <c r="L25" s="149"/>
      <c r="M25" s="5"/>
      <c r="N25" s="58" t="s">
        <v>262</v>
      </c>
      <c r="O25" s="116">
        <f>inertia_m_z</f>
        <v>1.24</v>
      </c>
      <c r="P25" s="5"/>
      <c r="Q25" s="59"/>
      <c r="R25" s="5"/>
      <c r="S25" s="59"/>
      <c r="T25" s="115" t="s">
        <v>191</v>
      </c>
      <c r="U25" s="114" t="s">
        <v>377</v>
      </c>
      <c r="V25" s="5"/>
      <c r="W25" s="5"/>
    </row>
    <row r="26" spans="2:23" ht="18" customHeight="1" x14ac:dyDescent="0.4">
      <c r="B26" s="5"/>
      <c r="C26" s="5"/>
      <c r="D26" s="147" t="s">
        <v>227</v>
      </c>
      <c r="E26" s="148"/>
      <c r="F26" s="148"/>
      <c r="G26" s="149"/>
      <c r="H26" s="5"/>
      <c r="I26" s="213"/>
      <c r="J26" s="213"/>
      <c r="K26" s="213"/>
      <c r="L26" s="213"/>
      <c r="M26" s="5"/>
      <c r="N26" s="58" t="s">
        <v>329</v>
      </c>
      <c r="O26" s="116">
        <f>I_max</f>
        <v>1.24</v>
      </c>
      <c r="P26" s="5"/>
      <c r="Q26" s="5"/>
      <c r="R26" s="5"/>
      <c r="S26" s="59"/>
      <c r="T26" s="115" t="s">
        <v>192</v>
      </c>
      <c r="U26" s="114" t="s">
        <v>378</v>
      </c>
      <c r="V26" s="5"/>
      <c r="W26" s="5"/>
    </row>
    <row r="27" spans="2:23" ht="18" customHeight="1" x14ac:dyDescent="0.4">
      <c r="B27" s="5"/>
      <c r="C27" s="5"/>
      <c r="D27" s="147" t="s">
        <v>228</v>
      </c>
      <c r="E27" s="148"/>
      <c r="F27" s="148"/>
      <c r="G27" s="149"/>
      <c r="H27" s="5"/>
      <c r="I27" s="213"/>
      <c r="J27" s="213"/>
      <c r="K27" s="213"/>
      <c r="L27" s="213"/>
      <c r="M27" s="5"/>
      <c r="N27" s="58" t="s">
        <v>250</v>
      </c>
      <c r="O27" s="116">
        <f>I_min</f>
        <v>0.2</v>
      </c>
      <c r="P27" s="5"/>
      <c r="Q27" s="5"/>
      <c r="R27" s="5"/>
      <c r="S27" s="59"/>
      <c r="T27" s="115" t="s">
        <v>601</v>
      </c>
      <c r="U27" s="114" t="s">
        <v>379</v>
      </c>
      <c r="V27" s="5"/>
      <c r="W27" s="5"/>
    </row>
    <row r="28" spans="2:23" ht="18" customHeight="1" x14ac:dyDescent="0.4">
      <c r="B28" s="5"/>
      <c r="C28" s="5"/>
      <c r="D28" s="5"/>
      <c r="E28" s="5"/>
      <c r="F28" s="5"/>
      <c r="G28" s="5"/>
      <c r="H28" s="5"/>
      <c r="I28" s="213"/>
      <c r="J28" s="213"/>
      <c r="K28" s="213"/>
      <c r="L28" s="213"/>
      <c r="M28" s="5"/>
      <c r="N28" s="5"/>
      <c r="O28" s="5"/>
      <c r="P28" s="5"/>
      <c r="Q28" s="5"/>
      <c r="R28" s="5"/>
      <c r="S28" s="59"/>
      <c r="T28" s="115" t="s">
        <v>604</v>
      </c>
      <c r="U28" s="114" t="s">
        <v>380</v>
      </c>
      <c r="V28" s="5"/>
      <c r="W28" s="5"/>
    </row>
    <row r="29" spans="2:23" ht="18" customHeight="1" x14ac:dyDescent="0.4">
      <c r="B29" s="5"/>
      <c r="C29" s="5"/>
      <c r="D29" s="5"/>
      <c r="E29" s="5"/>
      <c r="F29" s="5"/>
      <c r="G29" s="5"/>
      <c r="H29" s="5"/>
      <c r="I29" s="213"/>
      <c r="J29" s="213"/>
      <c r="K29" s="213"/>
      <c r="L29" s="213"/>
      <c r="M29" s="5"/>
      <c r="N29" s="5"/>
      <c r="O29" s="5"/>
      <c r="P29" s="5"/>
      <c r="Q29" s="5"/>
      <c r="R29" s="5"/>
      <c r="S29" s="59"/>
      <c r="T29" s="115" t="s">
        <v>605</v>
      </c>
      <c r="U29" s="114" t="s">
        <v>381</v>
      </c>
      <c r="V29" s="5"/>
      <c r="W29" s="5"/>
    </row>
    <row r="30" spans="2:23" ht="18" customHeight="1" x14ac:dyDescent="0.4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9"/>
      <c r="T30" s="115" t="s">
        <v>606</v>
      </c>
      <c r="U30" s="114" t="s">
        <v>382</v>
      </c>
      <c r="V30" s="5"/>
      <c r="W30" s="5"/>
    </row>
    <row r="31" spans="2:23" ht="18" customHeight="1" x14ac:dyDescent="0.4">
      <c r="B31" s="5"/>
      <c r="C31" s="5"/>
      <c r="D31" s="405" t="s">
        <v>254</v>
      </c>
      <c r="E31" s="406"/>
      <c r="F31" s="406"/>
      <c r="G31" s="406"/>
      <c r="H31" s="406"/>
      <c r="I31" s="406"/>
      <c r="J31" s="406"/>
      <c r="K31" s="406"/>
      <c r="L31" s="406"/>
      <c r="M31" s="407"/>
      <c r="N31" s="5"/>
      <c r="O31" s="5"/>
      <c r="P31" s="5"/>
      <c r="Q31" s="5"/>
      <c r="R31" s="5"/>
      <c r="S31" s="59"/>
      <c r="T31" s="115" t="s">
        <v>608</v>
      </c>
      <c r="U31" s="114" t="s">
        <v>274</v>
      </c>
      <c r="V31" s="5"/>
      <c r="W31" s="5"/>
    </row>
    <row r="32" spans="2:23" ht="18" customHeight="1" x14ac:dyDescent="0.4">
      <c r="B32" s="5"/>
      <c r="C32" s="5"/>
      <c r="D32" s="408"/>
      <c r="E32" s="409"/>
      <c r="F32" s="409"/>
      <c r="G32" s="409"/>
      <c r="H32" s="409"/>
      <c r="I32" s="409"/>
      <c r="J32" s="409"/>
      <c r="K32" s="409"/>
      <c r="L32" s="409"/>
      <c r="M32" s="410"/>
      <c r="N32" s="5"/>
      <c r="O32" s="5"/>
      <c r="P32" s="5"/>
      <c r="Q32" s="5"/>
      <c r="R32" s="5"/>
      <c r="S32" s="59"/>
      <c r="T32" s="115" t="s">
        <v>609</v>
      </c>
      <c r="U32" s="114" t="s">
        <v>275</v>
      </c>
      <c r="V32" s="5"/>
      <c r="W32" s="5"/>
    </row>
    <row r="33" spans="2:23" ht="18" customHeight="1" x14ac:dyDescent="0.4">
      <c r="B33" s="5"/>
      <c r="C33" s="5"/>
      <c r="D33" s="400" t="s">
        <v>169</v>
      </c>
      <c r="E33" s="401"/>
      <c r="F33" s="401"/>
      <c r="G33" s="414"/>
      <c r="H33" s="55" t="s">
        <v>36</v>
      </c>
      <c r="I33" s="57" t="s">
        <v>20</v>
      </c>
      <c r="J33" s="411" t="s">
        <v>7</v>
      </c>
      <c r="K33" s="412"/>
      <c r="L33" s="412"/>
      <c r="M33" s="413"/>
      <c r="N33" s="5"/>
      <c r="O33" s="5"/>
      <c r="P33" s="5"/>
      <c r="Q33" s="5"/>
      <c r="R33" s="5"/>
      <c r="S33" s="59"/>
      <c r="T33" s="115" t="s">
        <v>610</v>
      </c>
      <c r="U33" s="114" t="s">
        <v>276</v>
      </c>
      <c r="V33" s="5"/>
      <c r="W33" s="5"/>
    </row>
    <row r="34" spans="2:23" ht="18" customHeight="1" x14ac:dyDescent="0.4">
      <c r="B34" s="5"/>
      <c r="C34" s="5"/>
      <c r="D34" s="397" t="s">
        <v>123</v>
      </c>
      <c r="E34" s="398"/>
      <c r="F34" s="398"/>
      <c r="G34" s="399"/>
      <c r="H34" s="117">
        <v>5</v>
      </c>
      <c r="I34" s="118" t="s">
        <v>124</v>
      </c>
      <c r="J34" s="402"/>
      <c r="K34" s="403"/>
      <c r="L34" s="403"/>
      <c r="M34" s="404"/>
      <c r="N34" s="5"/>
      <c r="O34" s="5"/>
      <c r="P34" s="5"/>
      <c r="Q34" s="5"/>
      <c r="R34" s="5"/>
      <c r="S34" s="59"/>
      <c r="T34" s="115" t="s">
        <v>612</v>
      </c>
      <c r="U34" s="114" t="s">
        <v>183</v>
      </c>
      <c r="V34" s="5"/>
      <c r="W34" s="5"/>
    </row>
    <row r="35" spans="2:23" ht="18" customHeight="1" x14ac:dyDescent="0.4">
      <c r="B35" s="5"/>
      <c r="C35" s="5"/>
      <c r="D35" s="397" t="s">
        <v>255</v>
      </c>
      <c r="E35" s="398"/>
      <c r="F35" s="398"/>
      <c r="G35" s="399"/>
      <c r="H35" s="117">
        <v>1</v>
      </c>
      <c r="I35" s="118" t="s">
        <v>180</v>
      </c>
      <c r="J35" s="402"/>
      <c r="K35" s="403"/>
      <c r="L35" s="403"/>
      <c r="M35" s="404"/>
      <c r="N35" s="5"/>
      <c r="O35" s="5"/>
      <c r="P35" s="5"/>
      <c r="Q35" s="5"/>
      <c r="R35" s="5"/>
      <c r="S35" s="59"/>
      <c r="T35" s="115" t="s">
        <v>611</v>
      </c>
      <c r="U35" s="114" t="s">
        <v>182</v>
      </c>
      <c r="V35" s="5"/>
      <c r="W35" s="5"/>
    </row>
    <row r="36" spans="2:23" ht="18" customHeight="1" x14ac:dyDescent="0.4">
      <c r="B36" s="5"/>
      <c r="C36" s="5"/>
      <c r="D36" s="397" t="s">
        <v>256</v>
      </c>
      <c r="E36" s="398"/>
      <c r="F36" s="398"/>
      <c r="G36" s="399"/>
      <c r="H36" s="117">
        <v>0</v>
      </c>
      <c r="I36" s="118" t="s">
        <v>179</v>
      </c>
      <c r="J36" s="402"/>
      <c r="K36" s="403"/>
      <c r="L36" s="403"/>
      <c r="M36" s="404"/>
      <c r="N36" s="5"/>
      <c r="O36" s="5"/>
      <c r="P36" s="5"/>
      <c r="Q36" s="5"/>
      <c r="R36" s="5"/>
      <c r="S36" s="59"/>
      <c r="T36" s="115" t="s">
        <v>615</v>
      </c>
      <c r="U36" s="114" t="s">
        <v>383</v>
      </c>
      <c r="V36" s="5"/>
      <c r="W36" s="5"/>
    </row>
    <row r="37" spans="2:23" ht="18" customHeight="1" x14ac:dyDescent="0.4">
      <c r="B37" s="5"/>
      <c r="C37" s="5"/>
      <c r="D37" s="397" t="s">
        <v>257</v>
      </c>
      <c r="E37" s="398"/>
      <c r="F37" s="398"/>
      <c r="G37" s="399"/>
      <c r="H37" s="117">
        <v>20</v>
      </c>
      <c r="I37" s="118" t="s">
        <v>124</v>
      </c>
      <c r="J37" s="402"/>
      <c r="K37" s="403"/>
      <c r="L37" s="403"/>
      <c r="M37" s="404"/>
      <c r="N37" s="5"/>
      <c r="O37" s="5"/>
      <c r="P37" s="5"/>
      <c r="Q37" s="5"/>
      <c r="R37" s="5"/>
      <c r="S37" s="59"/>
      <c r="T37" s="115" t="s">
        <v>616</v>
      </c>
      <c r="U37" s="114" t="s">
        <v>384</v>
      </c>
      <c r="V37" s="5"/>
      <c r="W37" s="5"/>
    </row>
    <row r="38" spans="2:23" ht="18" customHeight="1" x14ac:dyDescent="0.4">
      <c r="B38" s="5"/>
      <c r="C38" s="5"/>
      <c r="D38" s="397" t="s">
        <v>258</v>
      </c>
      <c r="E38" s="398"/>
      <c r="F38" s="398"/>
      <c r="G38" s="399"/>
      <c r="H38" s="119">
        <v>0.2</v>
      </c>
      <c r="I38" s="118" t="s">
        <v>35</v>
      </c>
      <c r="J38" s="402"/>
      <c r="K38" s="403"/>
      <c r="L38" s="403"/>
      <c r="M38" s="404"/>
      <c r="N38" s="5"/>
      <c r="O38" s="5"/>
      <c r="P38" s="5"/>
      <c r="Q38" s="5"/>
      <c r="R38" s="5"/>
      <c r="S38" s="59"/>
      <c r="T38" s="115" t="s">
        <v>617</v>
      </c>
      <c r="U38" s="114" t="s">
        <v>385</v>
      </c>
      <c r="V38" s="5"/>
      <c r="W38" s="5"/>
    </row>
    <row r="39" spans="2:23" ht="18" customHeight="1" x14ac:dyDescent="0.4">
      <c r="B39" s="5"/>
      <c r="C39" s="5"/>
      <c r="D39" s="397" t="s">
        <v>232</v>
      </c>
      <c r="E39" s="398"/>
      <c r="F39" s="398"/>
      <c r="G39" s="399"/>
      <c r="H39" s="117">
        <v>1</v>
      </c>
      <c r="I39" s="118" t="s">
        <v>250</v>
      </c>
      <c r="J39" s="402"/>
      <c r="K39" s="403"/>
      <c r="L39" s="403"/>
      <c r="M39" s="404"/>
      <c r="N39" s="5"/>
      <c r="O39" s="5"/>
      <c r="P39" s="5"/>
      <c r="Q39" s="5"/>
      <c r="R39" s="5"/>
      <c r="S39" s="59"/>
      <c r="T39" s="115" t="s">
        <v>618</v>
      </c>
      <c r="U39" s="114" t="s">
        <v>386</v>
      </c>
      <c r="V39" s="5"/>
      <c r="W39" s="5"/>
    </row>
    <row r="40" spans="2:23" ht="18" customHeight="1" x14ac:dyDescent="0.4">
      <c r="B40" s="5"/>
      <c r="C40" s="5"/>
      <c r="D40" s="397" t="s">
        <v>264</v>
      </c>
      <c r="E40" s="398"/>
      <c r="F40" s="398"/>
      <c r="G40" s="399"/>
      <c r="H40" s="117">
        <v>1</v>
      </c>
      <c r="I40" s="118" t="s">
        <v>110</v>
      </c>
      <c r="J40" s="402"/>
      <c r="K40" s="403"/>
      <c r="L40" s="403"/>
      <c r="M40" s="404"/>
      <c r="N40" s="5"/>
      <c r="O40" s="5"/>
      <c r="P40" s="5"/>
      <c r="Q40" s="5"/>
      <c r="R40" s="5"/>
      <c r="S40" s="59"/>
      <c r="T40" s="115" t="s">
        <v>619</v>
      </c>
      <c r="U40" s="114" t="s">
        <v>387</v>
      </c>
      <c r="V40" s="5"/>
      <c r="W40" s="5"/>
    </row>
    <row r="41" spans="2:23" ht="18" customHeight="1" x14ac:dyDescent="0.4">
      <c r="B41" s="5"/>
      <c r="C41" s="5"/>
      <c r="D41" s="397" t="s">
        <v>311</v>
      </c>
      <c r="E41" s="398"/>
      <c r="F41" s="398"/>
      <c r="G41" s="399"/>
      <c r="H41" s="117">
        <v>10</v>
      </c>
      <c r="I41" s="118" t="s">
        <v>216</v>
      </c>
      <c r="J41" s="402"/>
      <c r="K41" s="403"/>
      <c r="L41" s="403"/>
      <c r="M41" s="404"/>
      <c r="N41" s="5"/>
      <c r="O41" s="5"/>
      <c r="P41" s="5"/>
      <c r="Q41" s="5"/>
      <c r="R41" s="5"/>
      <c r="S41" s="59"/>
      <c r="T41" s="115" t="s">
        <v>628</v>
      </c>
      <c r="U41" s="114" t="s">
        <v>388</v>
      </c>
      <c r="V41" s="5"/>
      <c r="W41" s="5"/>
    </row>
    <row r="42" spans="2:23" ht="18" customHeight="1" x14ac:dyDescent="0.4">
      <c r="B42" s="5"/>
      <c r="C42" s="5"/>
      <c r="D42" s="397" t="s">
        <v>314</v>
      </c>
      <c r="E42" s="398"/>
      <c r="F42" s="398"/>
      <c r="G42" s="399"/>
      <c r="H42" s="119">
        <v>0.05</v>
      </c>
      <c r="I42" s="118" t="s">
        <v>35</v>
      </c>
      <c r="J42" s="402" t="s">
        <v>315</v>
      </c>
      <c r="K42" s="403"/>
      <c r="L42" s="403"/>
      <c r="M42" s="404"/>
      <c r="N42" s="5"/>
      <c r="O42" s="5"/>
      <c r="P42" s="5"/>
      <c r="Q42" s="5"/>
      <c r="R42" s="5"/>
      <c r="S42" s="59"/>
      <c r="T42" s="115" t="s">
        <v>613</v>
      </c>
      <c r="U42" s="114" t="s">
        <v>389</v>
      </c>
      <c r="V42" s="5"/>
      <c r="W42" s="5"/>
    </row>
    <row r="43" spans="2:23" ht="18" customHeight="1" x14ac:dyDescent="0.4">
      <c r="B43" s="5"/>
      <c r="C43" s="5"/>
      <c r="D43" s="397" t="s">
        <v>233</v>
      </c>
      <c r="E43" s="398"/>
      <c r="F43" s="398"/>
      <c r="G43" s="399"/>
      <c r="H43" s="117">
        <v>90</v>
      </c>
      <c r="I43" s="118" t="s">
        <v>124</v>
      </c>
      <c r="J43" s="402"/>
      <c r="K43" s="403"/>
      <c r="L43" s="403"/>
      <c r="M43" s="404"/>
      <c r="N43" s="5"/>
      <c r="O43" s="5"/>
      <c r="P43" s="5"/>
      <c r="Q43" s="5"/>
      <c r="R43" s="5"/>
      <c r="S43" s="59"/>
      <c r="T43" s="115" t="s">
        <v>614</v>
      </c>
      <c r="U43" s="114" t="s">
        <v>390</v>
      </c>
      <c r="V43" s="5"/>
      <c r="W43" s="5"/>
    </row>
    <row r="44" spans="2:23" ht="18" customHeight="1" x14ac:dyDescent="0.4">
      <c r="B44" s="5"/>
      <c r="C44" s="5"/>
      <c r="D44" s="397" t="s">
        <v>330</v>
      </c>
      <c r="E44" s="398"/>
      <c r="F44" s="398"/>
      <c r="G44" s="399"/>
      <c r="H44" s="117">
        <v>5</v>
      </c>
      <c r="I44" s="118" t="s">
        <v>124</v>
      </c>
      <c r="J44" s="402"/>
      <c r="K44" s="403"/>
      <c r="L44" s="403"/>
      <c r="M44" s="404"/>
      <c r="N44" s="5"/>
      <c r="O44" s="5"/>
      <c r="P44" s="5"/>
      <c r="Q44" s="5"/>
      <c r="R44" s="5"/>
      <c r="S44" s="59"/>
      <c r="T44" s="115" t="s">
        <v>622</v>
      </c>
      <c r="U44" s="114" t="s">
        <v>391</v>
      </c>
      <c r="V44" s="5"/>
      <c r="W44" s="5"/>
    </row>
    <row r="45" spans="2:23" ht="18" customHeight="1" x14ac:dyDescent="0.4">
      <c r="B45" s="5"/>
      <c r="C45" s="5"/>
      <c r="D45" s="397" t="s">
        <v>331</v>
      </c>
      <c r="E45" s="398"/>
      <c r="F45" s="398"/>
      <c r="G45" s="399"/>
      <c r="H45" s="117">
        <v>1000</v>
      </c>
      <c r="I45" s="118" t="s">
        <v>269</v>
      </c>
      <c r="J45" s="402"/>
      <c r="K45" s="403"/>
      <c r="L45" s="403"/>
      <c r="M45" s="404"/>
      <c r="N45" s="5"/>
      <c r="O45" s="5"/>
      <c r="P45" s="5"/>
      <c r="Q45" s="5"/>
      <c r="R45" s="5"/>
      <c r="S45" s="59"/>
      <c r="T45" s="115" t="s">
        <v>587</v>
      </c>
      <c r="U45" s="114" t="s">
        <v>392</v>
      </c>
      <c r="V45" s="5"/>
      <c r="W45" s="5"/>
    </row>
    <row r="46" spans="2:23" ht="18" customHeight="1" x14ac:dyDescent="0.4">
      <c r="B46" s="5"/>
      <c r="C46" s="5"/>
      <c r="D46" s="397" t="s">
        <v>355</v>
      </c>
      <c r="E46" s="398"/>
      <c r="F46" s="398"/>
      <c r="G46" s="399"/>
      <c r="H46" s="117">
        <v>10</v>
      </c>
      <c r="I46" s="118" t="s">
        <v>174</v>
      </c>
      <c r="J46" s="402"/>
      <c r="K46" s="403"/>
      <c r="L46" s="403"/>
      <c r="M46" s="404"/>
      <c r="N46" s="5"/>
      <c r="O46" s="5"/>
      <c r="P46" s="5"/>
      <c r="Q46" s="5"/>
      <c r="R46" s="5"/>
      <c r="S46" s="59"/>
      <c r="T46" s="115" t="s">
        <v>620</v>
      </c>
      <c r="U46" s="114" t="s">
        <v>393</v>
      </c>
      <c r="V46" s="5"/>
      <c r="W46" s="5"/>
    </row>
    <row r="47" spans="2:23" ht="18" customHeight="1" x14ac:dyDescent="0.4">
      <c r="B47" s="59"/>
      <c r="C47" s="59"/>
      <c r="D47" s="397"/>
      <c r="E47" s="398"/>
      <c r="F47" s="398"/>
      <c r="G47" s="399"/>
      <c r="H47" s="117"/>
      <c r="I47" s="118"/>
      <c r="J47" s="402"/>
      <c r="K47" s="403"/>
      <c r="L47" s="403"/>
      <c r="M47" s="404"/>
      <c r="N47" s="59"/>
      <c r="O47" s="59"/>
      <c r="P47" s="59"/>
      <c r="Q47" s="59"/>
      <c r="R47" s="59"/>
      <c r="S47" s="59"/>
      <c r="T47" s="115" t="s">
        <v>621</v>
      </c>
      <c r="U47" s="114" t="s">
        <v>394</v>
      </c>
      <c r="V47" s="59"/>
      <c r="W47" s="59"/>
    </row>
    <row r="48" spans="2:23" ht="18" customHeight="1" x14ac:dyDescent="0.4">
      <c r="B48" s="59"/>
      <c r="C48" s="59"/>
      <c r="D48" s="397"/>
      <c r="E48" s="398"/>
      <c r="F48" s="398"/>
      <c r="G48" s="399"/>
      <c r="H48" s="117"/>
      <c r="I48" s="118"/>
      <c r="J48" s="402"/>
      <c r="K48" s="403"/>
      <c r="L48" s="403"/>
      <c r="M48" s="404"/>
      <c r="N48" s="59"/>
      <c r="O48" s="59"/>
      <c r="P48" s="59"/>
      <c r="Q48" s="59"/>
      <c r="R48" s="59"/>
      <c r="S48" s="59"/>
      <c r="T48" s="115" t="s">
        <v>588</v>
      </c>
      <c r="U48" s="114" t="s">
        <v>395</v>
      </c>
      <c r="V48" s="59"/>
      <c r="W48" s="59"/>
    </row>
    <row r="49" spans="2:23" ht="18" customHeight="1" x14ac:dyDescent="0.4">
      <c r="B49" s="59"/>
      <c r="C49" s="59"/>
      <c r="D49" s="397"/>
      <c r="E49" s="398"/>
      <c r="F49" s="398"/>
      <c r="G49" s="399"/>
      <c r="H49" s="117"/>
      <c r="I49" s="118"/>
      <c r="J49" s="402"/>
      <c r="K49" s="403"/>
      <c r="L49" s="403"/>
      <c r="M49" s="404"/>
      <c r="N49" s="59"/>
      <c r="O49" s="59"/>
      <c r="P49" s="59"/>
      <c r="Q49" s="59"/>
      <c r="R49" s="59"/>
      <c r="S49" s="59"/>
      <c r="T49" s="115" t="s">
        <v>590</v>
      </c>
      <c r="U49" s="114" t="s">
        <v>396</v>
      </c>
      <c r="V49" s="59"/>
      <c r="W49" s="59"/>
    </row>
    <row r="50" spans="2:23" ht="18" customHeight="1" x14ac:dyDescent="0.4">
      <c r="B50" s="59"/>
      <c r="C50" s="59"/>
      <c r="D50" s="397"/>
      <c r="E50" s="398"/>
      <c r="F50" s="398"/>
      <c r="G50" s="399"/>
      <c r="H50" s="117"/>
      <c r="I50" s="118"/>
      <c r="J50" s="402"/>
      <c r="K50" s="403"/>
      <c r="L50" s="403"/>
      <c r="M50" s="404"/>
      <c r="N50" s="59"/>
      <c r="O50" s="59"/>
      <c r="P50" s="59"/>
      <c r="Q50" s="59"/>
      <c r="R50" s="59"/>
      <c r="S50" s="59"/>
      <c r="T50" s="115" t="s">
        <v>584</v>
      </c>
      <c r="U50" s="114" t="s">
        <v>397</v>
      </c>
      <c r="V50" s="59"/>
      <c r="W50" s="59"/>
    </row>
    <row r="51" spans="2:23" ht="18" customHeight="1" x14ac:dyDescent="0.4">
      <c r="B51" s="59"/>
      <c r="C51" s="59"/>
      <c r="D51" s="397"/>
      <c r="E51" s="398"/>
      <c r="F51" s="398"/>
      <c r="G51" s="399"/>
      <c r="H51" s="117"/>
      <c r="I51" s="118"/>
      <c r="J51" s="402"/>
      <c r="K51" s="403"/>
      <c r="L51" s="403"/>
      <c r="M51" s="404"/>
      <c r="N51" s="59"/>
      <c r="O51" s="59"/>
      <c r="P51" s="59"/>
      <c r="Q51" s="59"/>
      <c r="R51" s="59"/>
      <c r="S51" s="59"/>
      <c r="T51" s="115" t="s">
        <v>585</v>
      </c>
      <c r="U51" s="114" t="s">
        <v>398</v>
      </c>
      <c r="V51" s="59"/>
      <c r="W51" s="59"/>
    </row>
    <row r="52" spans="2:23" ht="18" customHeight="1" x14ac:dyDescent="0.4"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115" t="s">
        <v>623</v>
      </c>
      <c r="U52" s="114" t="s">
        <v>399</v>
      </c>
      <c r="V52" s="59"/>
      <c r="W52" s="59"/>
    </row>
    <row r="53" spans="2:23" ht="18" customHeight="1" x14ac:dyDescent="0.4"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115" t="s">
        <v>624</v>
      </c>
      <c r="U53" s="114" t="s">
        <v>400</v>
      </c>
      <c r="V53" s="59"/>
      <c r="W53" s="59"/>
    </row>
    <row r="54" spans="2:23" ht="18" customHeight="1" x14ac:dyDescent="0.4"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115" t="s">
        <v>625</v>
      </c>
      <c r="U54" s="114" t="s">
        <v>401</v>
      </c>
      <c r="V54" s="59"/>
      <c r="W54" s="59"/>
    </row>
    <row r="55" spans="2:23" ht="18" customHeight="1" x14ac:dyDescent="0.4"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115" t="s">
        <v>626</v>
      </c>
      <c r="U55" s="114" t="s">
        <v>402</v>
      </c>
      <c r="V55" s="59"/>
      <c r="W55" s="59"/>
    </row>
    <row r="56" spans="2:23" ht="18" customHeight="1" x14ac:dyDescent="0.4"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115" t="s">
        <v>205</v>
      </c>
      <c r="U56" s="114" t="s">
        <v>403</v>
      </c>
      <c r="V56" s="59"/>
      <c r="W56" s="59"/>
    </row>
    <row r="57" spans="2:23" ht="18" customHeight="1" x14ac:dyDescent="0.4"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115" t="s">
        <v>627</v>
      </c>
      <c r="U57" s="114" t="s">
        <v>404</v>
      </c>
      <c r="V57" s="59"/>
      <c r="W57" s="59"/>
    </row>
    <row r="58" spans="2:23" ht="18" customHeight="1" x14ac:dyDescent="0.4"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115" t="s">
        <v>589</v>
      </c>
      <c r="U58" s="114" t="s">
        <v>405</v>
      </c>
      <c r="V58" s="59"/>
      <c r="W58" s="59"/>
    </row>
    <row r="59" spans="2:23" ht="18" customHeight="1" x14ac:dyDescent="0.4"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</row>
  </sheetData>
  <dataConsolidate/>
  <mergeCells count="70">
    <mergeCell ref="N10:Q11"/>
    <mergeCell ref="N12:Q12"/>
    <mergeCell ref="N13:Q13"/>
    <mergeCell ref="D39:G39"/>
    <mergeCell ref="D40:G40"/>
    <mergeCell ref="D38:G38"/>
    <mergeCell ref="D33:G33"/>
    <mergeCell ref="D34:G34"/>
    <mergeCell ref="D35:G35"/>
    <mergeCell ref="D36:G36"/>
    <mergeCell ref="D37:G37"/>
    <mergeCell ref="J37:M37"/>
    <mergeCell ref="J38:M38"/>
    <mergeCell ref="D16:G16"/>
    <mergeCell ref="D17:G17"/>
    <mergeCell ref="D15:G15"/>
    <mergeCell ref="I10:L11"/>
    <mergeCell ref="I12:L12"/>
    <mergeCell ref="I13:L13"/>
    <mergeCell ref="D14:G14"/>
    <mergeCell ref="D10:G11"/>
    <mergeCell ref="D12:G12"/>
    <mergeCell ref="D13:G13"/>
    <mergeCell ref="J44:M44"/>
    <mergeCell ref="D18:G18"/>
    <mergeCell ref="I22:L22"/>
    <mergeCell ref="I23:L23"/>
    <mergeCell ref="I24:L24"/>
    <mergeCell ref="I25:L25"/>
    <mergeCell ref="J39:M39"/>
    <mergeCell ref="J40:M40"/>
    <mergeCell ref="D22:G22"/>
    <mergeCell ref="D23:G23"/>
    <mergeCell ref="D24:G24"/>
    <mergeCell ref="D25:G25"/>
    <mergeCell ref="D42:G42"/>
    <mergeCell ref="J42:M42"/>
    <mergeCell ref="J41:M41"/>
    <mergeCell ref="F4:Q5"/>
    <mergeCell ref="F6:Q7"/>
    <mergeCell ref="D48:G48"/>
    <mergeCell ref="J48:M48"/>
    <mergeCell ref="D49:G49"/>
    <mergeCell ref="J49:M49"/>
    <mergeCell ref="D45:G45"/>
    <mergeCell ref="J45:M45"/>
    <mergeCell ref="D46:G46"/>
    <mergeCell ref="J46:M46"/>
    <mergeCell ref="I26:L26"/>
    <mergeCell ref="J47:M47"/>
    <mergeCell ref="I29:L29"/>
    <mergeCell ref="I28:L28"/>
    <mergeCell ref="D26:G26"/>
    <mergeCell ref="D27:G27"/>
    <mergeCell ref="D47:G47"/>
    <mergeCell ref="D41:G41"/>
    <mergeCell ref="T10:U10"/>
    <mergeCell ref="D51:G51"/>
    <mergeCell ref="J51:M51"/>
    <mergeCell ref="D50:G50"/>
    <mergeCell ref="J50:M50"/>
    <mergeCell ref="I27:L27"/>
    <mergeCell ref="D31:M32"/>
    <mergeCell ref="J33:M33"/>
    <mergeCell ref="J34:M34"/>
    <mergeCell ref="J35:M35"/>
    <mergeCell ref="J36:M36"/>
    <mergeCell ref="D43:G43"/>
    <mergeCell ref="J43:M43"/>
    <mergeCell ref="D44:G4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"/>
  <dimension ref="A1:AU10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27" sqref="L27"/>
    </sheetView>
  </sheetViews>
  <sheetFormatPr defaultColWidth="9" defaultRowHeight="13.2" x14ac:dyDescent="0.25"/>
  <cols>
    <col min="1" max="3" width="9" style="94"/>
    <col min="4" max="4" width="11.59765625" style="94" bestFit="1" customWidth="1"/>
    <col min="5" max="7" width="9" style="94"/>
    <col min="8" max="8" width="12.59765625" style="94" bestFit="1" customWidth="1"/>
    <col min="9" max="12" width="9" style="94"/>
    <col min="13" max="13" width="10.69921875" style="94" bestFit="1" customWidth="1"/>
    <col min="14" max="28" width="9" style="94"/>
    <col min="29" max="29" width="13.59765625" style="94" bestFit="1" customWidth="1"/>
    <col min="30" max="30" width="9" style="94"/>
    <col min="31" max="31" width="10.69921875" style="94" bestFit="1" customWidth="1"/>
    <col min="32" max="32" width="12.59765625" style="94" bestFit="1" customWidth="1"/>
    <col min="33" max="33" width="9" style="94"/>
    <col min="34" max="34" width="10.69921875" style="94" bestFit="1" customWidth="1"/>
    <col min="35" max="45" width="9" style="94"/>
    <col min="46" max="46" width="10.69921875" style="94" bestFit="1" customWidth="1"/>
    <col min="47" max="16384" width="9" style="94"/>
  </cols>
  <sheetData>
    <row r="1" spans="1:47" s="99" customFormat="1" ht="14.4" x14ac:dyDescent="0.3">
      <c r="A1" s="95" t="s">
        <v>365</v>
      </c>
      <c r="B1" s="96" t="s">
        <v>366</v>
      </c>
      <c r="C1" s="96" t="s">
        <v>367</v>
      </c>
      <c r="D1" s="96" t="s">
        <v>368</v>
      </c>
      <c r="E1" s="97" t="s">
        <v>369</v>
      </c>
      <c r="F1" s="96" t="s">
        <v>370</v>
      </c>
      <c r="G1" s="96" t="s">
        <v>371</v>
      </c>
      <c r="H1" s="96" t="s">
        <v>372</v>
      </c>
      <c r="I1" s="96" t="s">
        <v>373</v>
      </c>
      <c r="J1" s="96" t="s">
        <v>186</v>
      </c>
      <c r="K1" s="96" t="s">
        <v>374</v>
      </c>
      <c r="L1" s="96" t="s">
        <v>375</v>
      </c>
      <c r="M1" s="96" t="s">
        <v>376</v>
      </c>
      <c r="N1" s="96" t="s">
        <v>377</v>
      </c>
      <c r="O1" s="96" t="s">
        <v>378</v>
      </c>
      <c r="P1" s="96" t="s">
        <v>379</v>
      </c>
      <c r="Q1" s="96" t="s">
        <v>380</v>
      </c>
      <c r="R1" s="96" t="s">
        <v>381</v>
      </c>
      <c r="S1" s="96" t="s">
        <v>382</v>
      </c>
      <c r="T1" s="96" t="s">
        <v>274</v>
      </c>
      <c r="U1" s="96" t="s">
        <v>275</v>
      </c>
      <c r="V1" s="96" t="s">
        <v>276</v>
      </c>
      <c r="W1" s="96" t="s">
        <v>183</v>
      </c>
      <c r="X1" s="96" t="s">
        <v>182</v>
      </c>
      <c r="Y1" s="96" t="s">
        <v>383</v>
      </c>
      <c r="Z1" s="96" t="s">
        <v>384</v>
      </c>
      <c r="AA1" s="96" t="s">
        <v>385</v>
      </c>
      <c r="AB1" s="96" t="s">
        <v>386</v>
      </c>
      <c r="AC1" s="96" t="s">
        <v>387</v>
      </c>
      <c r="AD1" s="96" t="s">
        <v>388</v>
      </c>
      <c r="AE1" s="96" t="s">
        <v>389</v>
      </c>
      <c r="AF1" s="96" t="s">
        <v>390</v>
      </c>
      <c r="AG1" s="96" t="s">
        <v>391</v>
      </c>
      <c r="AH1" s="96" t="s">
        <v>392</v>
      </c>
      <c r="AI1" s="96" t="s">
        <v>393</v>
      </c>
      <c r="AJ1" s="96" t="s">
        <v>394</v>
      </c>
      <c r="AK1" s="96" t="s">
        <v>395</v>
      </c>
      <c r="AL1" s="96" t="s">
        <v>396</v>
      </c>
      <c r="AM1" s="96" t="s">
        <v>397</v>
      </c>
      <c r="AN1" s="96" t="s">
        <v>398</v>
      </c>
      <c r="AO1" s="96" t="s">
        <v>399</v>
      </c>
      <c r="AP1" s="96" t="s">
        <v>400</v>
      </c>
      <c r="AQ1" s="96" t="s">
        <v>401</v>
      </c>
      <c r="AR1" s="96" t="s">
        <v>402</v>
      </c>
      <c r="AS1" s="96" t="s">
        <v>403</v>
      </c>
      <c r="AT1" s="96" t="s">
        <v>404</v>
      </c>
      <c r="AU1" s="98" t="s">
        <v>405</v>
      </c>
    </row>
    <row r="2" spans="1:47" s="104" customFormat="1" x14ac:dyDescent="0.25">
      <c r="A2" s="104" t="s">
        <v>526</v>
      </c>
      <c r="B2" s="104" t="s">
        <v>415</v>
      </c>
      <c r="C2" s="104" t="s">
        <v>416</v>
      </c>
      <c r="E2" s="104">
        <v>4</v>
      </c>
      <c r="F2" s="104" t="s">
        <v>527</v>
      </c>
      <c r="G2" s="104" t="s">
        <v>517</v>
      </c>
      <c r="I2" s="104" t="s">
        <v>410</v>
      </c>
      <c r="J2" s="104" t="s">
        <v>410</v>
      </c>
      <c r="L2" s="104" t="s">
        <v>884</v>
      </c>
      <c r="M2" s="104" t="s">
        <v>411</v>
      </c>
      <c r="N2" s="104">
        <v>0.24</v>
      </c>
      <c r="O2" s="104">
        <v>1</v>
      </c>
      <c r="Q2" s="104">
        <v>12</v>
      </c>
      <c r="R2" s="104">
        <v>4.2000000000000003E-2</v>
      </c>
      <c r="S2" s="104">
        <v>8.3000000000000004E-2</v>
      </c>
      <c r="T2" s="104">
        <v>58</v>
      </c>
      <c r="U2" s="104">
        <v>58</v>
      </c>
      <c r="V2" s="104">
        <v>25</v>
      </c>
      <c r="Y2" s="104">
        <v>5</v>
      </c>
      <c r="AA2" s="104">
        <v>43173</v>
      </c>
      <c r="AB2" s="104" t="s">
        <v>525</v>
      </c>
      <c r="AC2" s="104" t="s">
        <v>35</v>
      </c>
      <c r="AE2" s="104">
        <v>7</v>
      </c>
      <c r="AF2" s="104">
        <v>50</v>
      </c>
    </row>
    <row r="3" spans="1:47" s="104" customFormat="1" x14ac:dyDescent="0.25">
      <c r="A3" s="104" t="s">
        <v>456</v>
      </c>
      <c r="B3" s="104" t="s">
        <v>424</v>
      </c>
      <c r="C3" s="104" t="s">
        <v>429</v>
      </c>
      <c r="E3" s="104">
        <v>6</v>
      </c>
      <c r="F3" s="104" t="s">
        <v>457</v>
      </c>
      <c r="G3" s="104" t="s">
        <v>455</v>
      </c>
      <c r="I3" s="104" t="s">
        <v>410</v>
      </c>
      <c r="J3" s="104" t="s">
        <v>410</v>
      </c>
      <c r="L3" s="104" t="s">
        <v>884</v>
      </c>
      <c r="M3" s="104" t="s">
        <v>431</v>
      </c>
      <c r="N3" s="104">
        <v>6.4999999999999997E-3</v>
      </c>
      <c r="O3" s="104">
        <v>7.5899999999999995E-2</v>
      </c>
      <c r="P3" s="104">
        <v>3600</v>
      </c>
      <c r="Q3" s="104">
        <v>3.3</v>
      </c>
      <c r="R3" s="104">
        <v>2.3E-2</v>
      </c>
      <c r="T3" s="104">
        <v>43</v>
      </c>
      <c r="U3" s="104">
        <v>14</v>
      </c>
      <c r="V3" s="104">
        <v>5.9</v>
      </c>
      <c r="W3" s="104">
        <v>-30</v>
      </c>
      <c r="X3" s="104">
        <v>85</v>
      </c>
      <c r="AA3" s="104">
        <v>43166</v>
      </c>
      <c r="AM3" s="104">
        <v>0.1</v>
      </c>
      <c r="AN3" s="104">
        <v>0.5</v>
      </c>
      <c r="AO3" s="104">
        <v>120</v>
      </c>
      <c r="AP3" s="104">
        <v>120</v>
      </c>
    </row>
    <row r="4" spans="1:47" s="104" customFormat="1" x14ac:dyDescent="0.25">
      <c r="A4" s="104" t="s">
        <v>511</v>
      </c>
      <c r="B4" s="104" t="s">
        <v>415</v>
      </c>
      <c r="C4" s="104" t="s">
        <v>419</v>
      </c>
      <c r="E4" s="104">
        <v>3</v>
      </c>
      <c r="F4" s="104" t="s">
        <v>512</v>
      </c>
      <c r="G4" s="104" t="s">
        <v>513</v>
      </c>
      <c r="I4" s="104" t="s">
        <v>410</v>
      </c>
      <c r="J4" s="104" t="s">
        <v>410</v>
      </c>
      <c r="M4" s="104" t="s">
        <v>411</v>
      </c>
      <c r="N4" s="104">
        <v>0.19600000000000001</v>
      </c>
      <c r="O4" s="104">
        <v>1.2</v>
      </c>
      <c r="P4" s="104">
        <v>8000</v>
      </c>
      <c r="Q4" s="104">
        <v>5</v>
      </c>
      <c r="R4" s="104">
        <v>0.24</v>
      </c>
      <c r="T4" s="104">
        <v>95.9</v>
      </c>
      <c r="U4" s="104">
        <v>90.1</v>
      </c>
      <c r="V4" s="104">
        <v>17</v>
      </c>
      <c r="W4" s="104">
        <v>-40</v>
      </c>
      <c r="X4" s="104">
        <v>70</v>
      </c>
      <c r="AA4" s="104">
        <v>43173</v>
      </c>
      <c r="AB4" s="104" t="s">
        <v>514</v>
      </c>
      <c r="AC4" s="104" t="s">
        <v>35</v>
      </c>
      <c r="AG4" s="104">
        <v>3</v>
      </c>
      <c r="AJ4" s="104">
        <v>200</v>
      </c>
    </row>
    <row r="5" spans="1:47" s="104" customFormat="1" x14ac:dyDescent="0.25">
      <c r="A5" s="104" t="s">
        <v>432</v>
      </c>
      <c r="B5" s="104" t="s">
        <v>424</v>
      </c>
      <c r="C5" s="104" t="s">
        <v>403</v>
      </c>
      <c r="E5" s="104">
        <v>3</v>
      </c>
      <c r="F5" s="104" t="s">
        <v>433</v>
      </c>
      <c r="G5" s="104" t="s">
        <v>409</v>
      </c>
      <c r="I5" s="104" t="s">
        <v>410</v>
      </c>
      <c r="J5" s="104" t="s">
        <v>410</v>
      </c>
      <c r="L5" s="104" t="s">
        <v>884</v>
      </c>
      <c r="M5" s="104" t="s">
        <v>410</v>
      </c>
      <c r="N5" s="104">
        <v>2.4E-2</v>
      </c>
      <c r="O5" s="104">
        <v>1.1549999999999998</v>
      </c>
      <c r="P5" s="104" t="s">
        <v>412</v>
      </c>
      <c r="Q5" s="104">
        <v>3.3</v>
      </c>
      <c r="R5" s="104">
        <v>0.35</v>
      </c>
      <c r="T5" s="104">
        <v>46</v>
      </c>
      <c r="U5" s="104">
        <v>72</v>
      </c>
      <c r="V5" s="104">
        <v>11</v>
      </c>
      <c r="AA5" s="104">
        <v>43160</v>
      </c>
      <c r="AQ5" s="104">
        <v>1.5</v>
      </c>
      <c r="AR5" s="104">
        <v>0.03</v>
      </c>
      <c r="AS5" s="104" t="s">
        <v>434</v>
      </c>
    </row>
    <row r="6" spans="1:47" s="104" customFormat="1" x14ac:dyDescent="0.25"/>
    <row r="7" spans="1:47" s="104" customFormat="1" x14ac:dyDescent="0.25"/>
    <row r="8" spans="1:47" s="104" customFormat="1" x14ac:dyDescent="0.25"/>
    <row r="9" spans="1:47" s="104" customFormat="1" x14ac:dyDescent="0.25"/>
    <row r="10" spans="1:47" s="104" customFormat="1" x14ac:dyDescent="0.25"/>
    <row r="11" spans="1:47" s="104" customFormat="1" x14ac:dyDescent="0.25"/>
    <row r="12" spans="1:47" s="104" customFormat="1" x14ac:dyDescent="0.25"/>
    <row r="13" spans="1:47" s="104" customFormat="1" x14ac:dyDescent="0.25"/>
    <row r="14" spans="1:47" s="104" customFormat="1" x14ac:dyDescent="0.25"/>
    <row r="15" spans="1:47" s="104" customFormat="1" x14ac:dyDescent="0.25"/>
    <row r="16" spans="1:47" s="104" customFormat="1" x14ac:dyDescent="0.25"/>
    <row r="17" s="104" customFormat="1" x14ac:dyDescent="0.25"/>
    <row r="18" s="104" customFormat="1" x14ac:dyDescent="0.25"/>
    <row r="19" s="104" customFormat="1" x14ac:dyDescent="0.25"/>
    <row r="20" s="104" customFormat="1" x14ac:dyDescent="0.25"/>
    <row r="21" s="104" customFormat="1" x14ac:dyDescent="0.25"/>
    <row r="22" s="104" customFormat="1" x14ac:dyDescent="0.25"/>
    <row r="23" s="104" customFormat="1" x14ac:dyDescent="0.25"/>
    <row r="24" s="104" customFormat="1" x14ac:dyDescent="0.25"/>
    <row r="25" s="104" customFormat="1" x14ac:dyDescent="0.25"/>
    <row r="26" s="104" customFormat="1" x14ac:dyDescent="0.25"/>
    <row r="27" s="104" customFormat="1" x14ac:dyDescent="0.25"/>
    <row r="28" s="104" customFormat="1" x14ac:dyDescent="0.25"/>
    <row r="29" s="104" customFormat="1" x14ac:dyDescent="0.25"/>
    <row r="30" s="104" customFormat="1" x14ac:dyDescent="0.25"/>
    <row r="31" s="104" customFormat="1" x14ac:dyDescent="0.25"/>
    <row r="32" s="104" customFormat="1" x14ac:dyDescent="0.25"/>
    <row r="33" s="104" customFormat="1" x14ac:dyDescent="0.25"/>
    <row r="34" s="104" customFormat="1" x14ac:dyDescent="0.25"/>
    <row r="35" s="104" customFormat="1" x14ac:dyDescent="0.25"/>
    <row r="36" s="104" customFormat="1" x14ac:dyDescent="0.25"/>
    <row r="37" s="104" customFormat="1" x14ac:dyDescent="0.25"/>
    <row r="38" s="104" customFormat="1" x14ac:dyDescent="0.25"/>
    <row r="39" s="104" customFormat="1" x14ac:dyDescent="0.25"/>
    <row r="40" s="104" customFormat="1" x14ac:dyDescent="0.25"/>
    <row r="41" s="104" customFormat="1" x14ac:dyDescent="0.25"/>
    <row r="42" s="104" customFormat="1" x14ac:dyDescent="0.25"/>
    <row r="43" s="104" customFormat="1" x14ac:dyDescent="0.25"/>
    <row r="44" s="104" customFormat="1" x14ac:dyDescent="0.25"/>
    <row r="45" s="104" customFormat="1" x14ac:dyDescent="0.25"/>
    <row r="46" s="104" customFormat="1" x14ac:dyDescent="0.25"/>
    <row r="47" s="104" customFormat="1" x14ac:dyDescent="0.25"/>
    <row r="48" s="104" customFormat="1" x14ac:dyDescent="0.25"/>
    <row r="49" s="104" customFormat="1" x14ac:dyDescent="0.25"/>
    <row r="50" s="104" customFormat="1" x14ac:dyDescent="0.25"/>
    <row r="51" s="104" customFormat="1" x14ac:dyDescent="0.25"/>
    <row r="52" s="104" customFormat="1" x14ac:dyDescent="0.25"/>
    <row r="53" s="104" customFormat="1" x14ac:dyDescent="0.25"/>
    <row r="54" s="104" customFormat="1" x14ac:dyDescent="0.25"/>
    <row r="55" s="104" customFormat="1" x14ac:dyDescent="0.25"/>
    <row r="56" s="104" customFormat="1" x14ac:dyDescent="0.25"/>
    <row r="57" s="104" customFormat="1" x14ac:dyDescent="0.25"/>
    <row r="58" s="104" customFormat="1" x14ac:dyDescent="0.25"/>
    <row r="59" s="104" customFormat="1" x14ac:dyDescent="0.25"/>
    <row r="60" s="104" customFormat="1" x14ac:dyDescent="0.25"/>
    <row r="61" s="104" customFormat="1" x14ac:dyDescent="0.25"/>
    <row r="62" s="104" customFormat="1" x14ac:dyDescent="0.25"/>
    <row r="63" s="104" customFormat="1" x14ac:dyDescent="0.25"/>
    <row r="64" s="104" customFormat="1" x14ac:dyDescent="0.25"/>
    <row r="65" s="104" customFormat="1" x14ac:dyDescent="0.25"/>
    <row r="66" s="104" customFormat="1" x14ac:dyDescent="0.25"/>
    <row r="67" s="104" customFormat="1" x14ac:dyDescent="0.25"/>
    <row r="68" s="104" customFormat="1" x14ac:dyDescent="0.25"/>
    <row r="69" s="104" customFormat="1" x14ac:dyDescent="0.25"/>
    <row r="70" s="104" customFormat="1" x14ac:dyDescent="0.25"/>
    <row r="71" s="104" customFormat="1" x14ac:dyDescent="0.25"/>
    <row r="72" s="104" customFormat="1" x14ac:dyDescent="0.25"/>
    <row r="73" s="104" customFormat="1" x14ac:dyDescent="0.25"/>
    <row r="74" s="104" customFormat="1" x14ac:dyDescent="0.25"/>
    <row r="75" s="104" customFormat="1" x14ac:dyDescent="0.25"/>
    <row r="76" s="104" customFormat="1" x14ac:dyDescent="0.25"/>
    <row r="77" s="104" customFormat="1" x14ac:dyDescent="0.25"/>
    <row r="78" s="104" customFormat="1" x14ac:dyDescent="0.25"/>
    <row r="79" s="104" customFormat="1" x14ac:dyDescent="0.25"/>
    <row r="80" s="104" customFormat="1" x14ac:dyDescent="0.25"/>
    <row r="81" s="104" customFormat="1" x14ac:dyDescent="0.25"/>
    <row r="82" s="104" customFormat="1" x14ac:dyDescent="0.25"/>
    <row r="83" s="104" customFormat="1" x14ac:dyDescent="0.25"/>
    <row r="84" s="104" customFormat="1" x14ac:dyDescent="0.25"/>
    <row r="85" s="104" customFormat="1" x14ac:dyDescent="0.25"/>
    <row r="86" s="104" customFormat="1" x14ac:dyDescent="0.25"/>
    <row r="87" s="104" customFormat="1" x14ac:dyDescent="0.25"/>
    <row r="88" s="104" customFormat="1" x14ac:dyDescent="0.25"/>
    <row r="89" s="104" customFormat="1" x14ac:dyDescent="0.25"/>
    <row r="90" s="104" customFormat="1" x14ac:dyDescent="0.25"/>
    <row r="91" s="104" customFormat="1" x14ac:dyDescent="0.25"/>
    <row r="92" s="104" customFormat="1" x14ac:dyDescent="0.25"/>
    <row r="93" s="104" customFormat="1" x14ac:dyDescent="0.25"/>
    <row r="94" s="104" customFormat="1" x14ac:dyDescent="0.25"/>
    <row r="95" s="104" customFormat="1" x14ac:dyDescent="0.25"/>
    <row r="96" s="104" customFormat="1" x14ac:dyDescent="0.25"/>
    <row r="97" s="104" customFormat="1" x14ac:dyDescent="0.25"/>
    <row r="98" s="104" customFormat="1" x14ac:dyDescent="0.25"/>
    <row r="99" s="104" customFormat="1" x14ac:dyDescent="0.25"/>
    <row r="100" s="104" customFormat="1" x14ac:dyDescent="0.25"/>
    <row r="101" s="104" customFormat="1" x14ac:dyDescent="0.25"/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A1:AT5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8" sqref="A8:XFD8"/>
    </sheetView>
  </sheetViews>
  <sheetFormatPr defaultColWidth="9" defaultRowHeight="16.8" x14ac:dyDescent="0.4"/>
  <cols>
    <col min="4" max="4" width="11.59765625" bestFit="1" customWidth="1"/>
    <col min="7" max="7" width="12.59765625" bestFit="1" customWidth="1"/>
    <col min="12" max="12" width="10.69921875" bestFit="1" customWidth="1"/>
    <col min="28" max="28" width="13.59765625" bestFit="1" customWidth="1"/>
    <col min="30" max="30" width="10.69921875" bestFit="1" customWidth="1"/>
    <col min="31" max="31" width="12.59765625" bestFit="1" customWidth="1"/>
    <col min="33" max="33" width="10.69921875" bestFit="1" customWidth="1"/>
    <col min="45" max="45" width="10.69921875" bestFit="1" customWidth="1"/>
  </cols>
  <sheetData>
    <row r="1" spans="1:46" s="103" customFormat="1" ht="13.2" x14ac:dyDescent="0.25">
      <c r="A1" s="100" t="s">
        <v>365</v>
      </c>
      <c r="B1" s="101" t="s">
        <v>366</v>
      </c>
      <c r="C1" s="101" t="s">
        <v>367</v>
      </c>
      <c r="D1" s="101" t="s">
        <v>368</v>
      </c>
      <c r="E1" s="101" t="s">
        <v>370</v>
      </c>
      <c r="F1" s="101" t="s">
        <v>371</v>
      </c>
      <c r="G1" s="101" t="s">
        <v>372</v>
      </c>
      <c r="H1" s="101" t="s">
        <v>373</v>
      </c>
      <c r="I1" s="101" t="s">
        <v>186</v>
      </c>
      <c r="J1" s="101" t="s">
        <v>374</v>
      </c>
      <c r="K1" s="101" t="s">
        <v>375</v>
      </c>
      <c r="L1" s="101" t="s">
        <v>376</v>
      </c>
      <c r="M1" s="101" t="s">
        <v>377</v>
      </c>
      <c r="N1" s="101" t="s">
        <v>378</v>
      </c>
      <c r="O1" s="101" t="s">
        <v>379</v>
      </c>
      <c r="P1" s="101" t="s">
        <v>380</v>
      </c>
      <c r="Q1" s="101" t="s">
        <v>381</v>
      </c>
      <c r="R1" s="101" t="s">
        <v>382</v>
      </c>
      <c r="S1" s="101" t="s">
        <v>274</v>
      </c>
      <c r="T1" s="101" t="s">
        <v>275</v>
      </c>
      <c r="U1" s="101" t="s">
        <v>276</v>
      </c>
      <c r="V1" s="101" t="s">
        <v>183</v>
      </c>
      <c r="W1" s="101" t="s">
        <v>182</v>
      </c>
      <c r="X1" s="101" t="s">
        <v>383</v>
      </c>
      <c r="Y1" s="101" t="s">
        <v>384</v>
      </c>
      <c r="Z1" s="101" t="s">
        <v>385</v>
      </c>
      <c r="AA1" s="101" t="s">
        <v>386</v>
      </c>
      <c r="AB1" s="101" t="s">
        <v>387</v>
      </c>
      <c r="AC1" s="101" t="s">
        <v>388</v>
      </c>
      <c r="AD1" s="101" t="s">
        <v>389</v>
      </c>
      <c r="AE1" s="101" t="s">
        <v>390</v>
      </c>
      <c r="AF1" s="101" t="s">
        <v>391</v>
      </c>
      <c r="AG1" s="101" t="s">
        <v>392</v>
      </c>
      <c r="AH1" s="101" t="s">
        <v>393</v>
      </c>
      <c r="AI1" s="101" t="s">
        <v>394</v>
      </c>
      <c r="AJ1" s="101" t="s">
        <v>395</v>
      </c>
      <c r="AK1" s="101" t="s">
        <v>396</v>
      </c>
      <c r="AL1" s="101" t="s">
        <v>397</v>
      </c>
      <c r="AM1" s="101" t="s">
        <v>398</v>
      </c>
      <c r="AN1" s="101" t="s">
        <v>399</v>
      </c>
      <c r="AO1" s="101" t="s">
        <v>400</v>
      </c>
      <c r="AP1" s="101" t="s">
        <v>401</v>
      </c>
      <c r="AQ1" s="101" t="s">
        <v>402</v>
      </c>
      <c r="AR1" s="101" t="s">
        <v>403</v>
      </c>
      <c r="AS1" s="101" t="s">
        <v>404</v>
      </c>
      <c r="AT1" s="102" t="s">
        <v>405</v>
      </c>
    </row>
    <row r="2" spans="1:46" s="104" customFormat="1" ht="13.2" x14ac:dyDescent="0.25">
      <c r="A2" s="104" t="s">
        <v>406</v>
      </c>
      <c r="B2" s="104" t="s">
        <v>407</v>
      </c>
      <c r="C2" s="104" t="s">
        <v>407</v>
      </c>
      <c r="E2" s="104" t="s">
        <v>848</v>
      </c>
      <c r="F2" s="104" t="s">
        <v>409</v>
      </c>
      <c r="H2" s="104" t="s">
        <v>410</v>
      </c>
      <c r="I2" s="104" t="s">
        <v>410</v>
      </c>
      <c r="L2" s="104" t="s">
        <v>411</v>
      </c>
      <c r="M2" s="104">
        <v>6.4000000000000001E-2</v>
      </c>
      <c r="N2" s="104">
        <v>0</v>
      </c>
      <c r="O2" s="104" t="s">
        <v>412</v>
      </c>
      <c r="P2" s="104">
        <v>5</v>
      </c>
      <c r="S2" s="104">
        <v>89.5</v>
      </c>
      <c r="T2" s="104">
        <v>92.6</v>
      </c>
      <c r="U2" s="104">
        <v>16</v>
      </c>
      <c r="V2" s="104">
        <v>-40</v>
      </c>
      <c r="W2" s="104">
        <v>85</v>
      </c>
      <c r="Z2" s="104">
        <v>43160</v>
      </c>
    </row>
    <row r="3" spans="1:46" s="104" customFormat="1" ht="13.2" x14ac:dyDescent="0.25">
      <c r="A3" s="104" t="s">
        <v>413</v>
      </c>
      <c r="B3" s="104" t="s">
        <v>407</v>
      </c>
      <c r="C3" s="104" t="s">
        <v>407</v>
      </c>
      <c r="E3" s="104" t="s">
        <v>408</v>
      </c>
      <c r="F3" s="104" t="s">
        <v>409</v>
      </c>
      <c r="H3" s="104" t="s">
        <v>410</v>
      </c>
      <c r="I3" s="104" t="s">
        <v>410</v>
      </c>
      <c r="L3" s="104" t="s">
        <v>411</v>
      </c>
      <c r="M3" s="104">
        <v>0.06</v>
      </c>
      <c r="N3" s="104">
        <v>0</v>
      </c>
      <c r="O3" s="104" t="s">
        <v>412</v>
      </c>
      <c r="P3" s="104">
        <v>5</v>
      </c>
      <c r="S3" s="104">
        <v>96.6</v>
      </c>
      <c r="T3" s="104">
        <v>92.5</v>
      </c>
      <c r="U3" s="104">
        <v>11.2</v>
      </c>
      <c r="V3" s="104">
        <v>-40</v>
      </c>
      <c r="W3" s="104">
        <v>85</v>
      </c>
      <c r="Z3" s="104">
        <v>43160</v>
      </c>
    </row>
    <row r="4" spans="1:46" s="104" customFormat="1" ht="13.2" x14ac:dyDescent="0.25">
      <c r="A4" s="104" t="s">
        <v>414</v>
      </c>
      <c r="B4" s="104" t="s">
        <v>415</v>
      </c>
      <c r="C4" s="104" t="s">
        <v>416</v>
      </c>
      <c r="E4" s="104" t="s">
        <v>417</v>
      </c>
      <c r="F4" s="104" t="s">
        <v>409</v>
      </c>
      <c r="H4" s="104" t="s">
        <v>410</v>
      </c>
      <c r="I4" s="104" t="s">
        <v>410</v>
      </c>
      <c r="L4" s="104" t="s">
        <v>411</v>
      </c>
      <c r="M4" s="104">
        <v>0.18</v>
      </c>
      <c r="N4" s="104">
        <v>0.7</v>
      </c>
      <c r="O4" s="104" t="s">
        <v>412</v>
      </c>
      <c r="P4" s="104">
        <v>5</v>
      </c>
      <c r="Q4" s="104">
        <f>AVERAGE(0.5,0.06)</f>
        <v>0.28000000000000003</v>
      </c>
      <c r="R4" s="104">
        <v>0.5</v>
      </c>
      <c r="S4" s="104">
        <v>44</v>
      </c>
      <c r="T4" s="104">
        <v>44</v>
      </c>
      <c r="U4" s="104">
        <v>27</v>
      </c>
      <c r="V4" s="104">
        <v>-40</v>
      </c>
      <c r="W4" s="104">
        <v>85</v>
      </c>
      <c r="X4" s="104">
        <v>3</v>
      </c>
      <c r="Z4" s="104">
        <v>43160</v>
      </c>
      <c r="AC4" s="104">
        <v>6000</v>
      </c>
      <c r="AD4" s="104">
        <v>2</v>
      </c>
      <c r="AE4" s="104">
        <v>19</v>
      </c>
    </row>
    <row r="5" spans="1:46" s="104" customFormat="1" ht="13.2" x14ac:dyDescent="0.25">
      <c r="A5" s="104" t="s">
        <v>418</v>
      </c>
      <c r="B5" s="104" t="s">
        <v>415</v>
      </c>
      <c r="C5" s="104" t="s">
        <v>419</v>
      </c>
      <c r="E5" s="104" t="s">
        <v>420</v>
      </c>
      <c r="F5" s="104" t="s">
        <v>409</v>
      </c>
      <c r="H5" s="104" t="s">
        <v>410</v>
      </c>
      <c r="I5" s="104" t="s">
        <v>410</v>
      </c>
      <c r="L5" s="104" t="s">
        <v>411</v>
      </c>
      <c r="M5" s="104">
        <v>0.156</v>
      </c>
      <c r="N5" s="104">
        <v>0</v>
      </c>
      <c r="O5" s="104" t="s">
        <v>412</v>
      </c>
      <c r="P5" s="104">
        <v>3.3</v>
      </c>
      <c r="S5" s="104">
        <v>90.5</v>
      </c>
      <c r="T5" s="104">
        <v>96.9</v>
      </c>
      <c r="U5" s="104">
        <v>17.2</v>
      </c>
      <c r="V5" s="104">
        <v>-40</v>
      </c>
      <c r="W5" s="104">
        <v>85</v>
      </c>
      <c r="Z5" s="104">
        <v>43160</v>
      </c>
      <c r="AF5" s="104">
        <v>3</v>
      </c>
      <c r="AG5" s="104">
        <v>30</v>
      </c>
      <c r="AI5" s="104">
        <v>355</v>
      </c>
    </row>
    <row r="6" spans="1:46" s="104" customFormat="1" ht="13.2" x14ac:dyDescent="0.25">
      <c r="A6" s="104" t="s">
        <v>421</v>
      </c>
      <c r="B6" s="104" t="s">
        <v>415</v>
      </c>
      <c r="C6" s="104" t="s">
        <v>419</v>
      </c>
      <c r="E6" s="104" t="s">
        <v>422</v>
      </c>
      <c r="F6" s="104" t="s">
        <v>409</v>
      </c>
      <c r="H6" s="104" t="s">
        <v>410</v>
      </c>
      <c r="I6" s="104" t="s">
        <v>410</v>
      </c>
      <c r="L6" s="104" t="s">
        <v>411</v>
      </c>
      <c r="M6" s="104">
        <v>0.106</v>
      </c>
      <c r="N6" s="104">
        <v>0</v>
      </c>
      <c r="O6" s="104" t="s">
        <v>412</v>
      </c>
      <c r="P6" s="104">
        <v>3.3</v>
      </c>
      <c r="S6" s="104">
        <v>90.5</v>
      </c>
      <c r="T6" s="104">
        <v>96.9</v>
      </c>
      <c r="U6" s="104">
        <v>17.2</v>
      </c>
      <c r="V6" s="104">
        <v>-50</v>
      </c>
      <c r="W6" s="104">
        <v>85</v>
      </c>
      <c r="Z6" s="104">
        <v>43160</v>
      </c>
      <c r="AF6" s="104">
        <v>1</v>
      </c>
      <c r="AG6" s="104">
        <v>148</v>
      </c>
      <c r="AH6" s="104">
        <v>0.57099999999999995</v>
      </c>
      <c r="AI6" s="104">
        <v>139</v>
      </c>
    </row>
    <row r="7" spans="1:46" s="104" customFormat="1" ht="13.2" x14ac:dyDescent="0.25">
      <c r="A7" s="104" t="s">
        <v>423</v>
      </c>
      <c r="B7" s="104" t="s">
        <v>424</v>
      </c>
      <c r="C7" s="104" t="s">
        <v>425</v>
      </c>
      <c r="E7" s="104" t="s">
        <v>426</v>
      </c>
      <c r="F7" s="104" t="s">
        <v>409</v>
      </c>
      <c r="H7" s="104" t="s">
        <v>410</v>
      </c>
      <c r="I7" s="104" t="s">
        <v>410</v>
      </c>
      <c r="L7" s="104" t="s">
        <v>427</v>
      </c>
      <c r="M7" s="104">
        <v>8.0000000000000002E-3</v>
      </c>
      <c r="N7" s="104">
        <f>P7*Q7</f>
        <v>8.2500000000000004E-3</v>
      </c>
      <c r="O7" s="104" t="s">
        <v>412</v>
      </c>
      <c r="P7" s="104">
        <v>3.3</v>
      </c>
      <c r="Q7" s="104">
        <v>2.5000000000000001E-3</v>
      </c>
      <c r="S7" s="104">
        <v>23</v>
      </c>
      <c r="T7" s="104">
        <v>20</v>
      </c>
      <c r="U7" s="104">
        <v>8</v>
      </c>
      <c r="V7" s="104">
        <v>-40</v>
      </c>
      <c r="W7" s="104">
        <v>85</v>
      </c>
      <c r="Z7" s="104">
        <v>43160</v>
      </c>
      <c r="AF7" s="104">
        <v>3</v>
      </c>
      <c r="AJ7" s="104">
        <v>15</v>
      </c>
      <c r="AK7" s="104">
        <v>800</v>
      </c>
    </row>
    <row r="8" spans="1:46" s="104" customFormat="1" ht="13.2" x14ac:dyDescent="0.25">
      <c r="A8" s="104" t="s">
        <v>428</v>
      </c>
      <c r="B8" s="104" t="s">
        <v>424</v>
      </c>
      <c r="C8" s="104" t="s">
        <v>429</v>
      </c>
      <c r="E8" s="104" t="s">
        <v>430</v>
      </c>
      <c r="F8" s="104" t="s">
        <v>409</v>
      </c>
      <c r="H8" s="104" t="s">
        <v>410</v>
      </c>
      <c r="I8" s="104" t="s">
        <v>410</v>
      </c>
      <c r="L8" s="104" t="s">
        <v>431</v>
      </c>
      <c r="M8" s="104">
        <v>2.2000000000000001E-3</v>
      </c>
      <c r="N8" s="104">
        <v>0</v>
      </c>
      <c r="O8" s="104" t="s">
        <v>412</v>
      </c>
      <c r="S8" s="104">
        <v>22</v>
      </c>
      <c r="T8" s="104">
        <v>11</v>
      </c>
      <c r="U8" s="104">
        <v>5</v>
      </c>
      <c r="V8" s="104">
        <v>-40</v>
      </c>
      <c r="W8" s="104">
        <v>100</v>
      </c>
      <c r="Z8" s="104">
        <v>43160</v>
      </c>
      <c r="AM8" s="104">
        <v>0.5</v>
      </c>
      <c r="AN8" s="104">
        <v>120</v>
      </c>
      <c r="AO8" s="104">
        <v>120</v>
      </c>
    </row>
    <row r="9" spans="1:46" s="104" customFormat="1" ht="13.2" x14ac:dyDescent="0.25">
      <c r="A9" s="104" t="s">
        <v>432</v>
      </c>
      <c r="B9" s="104" t="s">
        <v>424</v>
      </c>
      <c r="C9" s="104" t="s">
        <v>403</v>
      </c>
      <c r="E9" s="104" t="s">
        <v>433</v>
      </c>
      <c r="F9" s="104" t="s">
        <v>409</v>
      </c>
      <c r="H9" s="104" t="s">
        <v>410</v>
      </c>
      <c r="I9" s="104" t="s">
        <v>410</v>
      </c>
      <c r="K9" s="104">
        <v>9</v>
      </c>
      <c r="L9" s="104" t="s">
        <v>410</v>
      </c>
      <c r="M9" s="104">
        <v>2.4E-2</v>
      </c>
      <c r="N9" s="104">
        <f>P9*Q9</f>
        <v>1.1549999999999998</v>
      </c>
      <c r="O9" s="104" t="s">
        <v>412</v>
      </c>
      <c r="P9" s="104">
        <v>3.3</v>
      </c>
      <c r="Q9" s="104">
        <v>0.35</v>
      </c>
      <c r="S9" s="104">
        <v>46</v>
      </c>
      <c r="T9" s="104">
        <v>72</v>
      </c>
      <c r="U9" s="104">
        <v>11</v>
      </c>
      <c r="Z9" s="104">
        <v>43160</v>
      </c>
      <c r="AP9" s="104">
        <v>1.5</v>
      </c>
      <c r="AQ9" s="104">
        <v>0.03</v>
      </c>
      <c r="AR9" s="104" t="s">
        <v>434</v>
      </c>
    </row>
    <row r="10" spans="1:46" s="104" customFormat="1" ht="13.2" x14ac:dyDescent="0.25">
      <c r="A10" s="104" t="s">
        <v>435</v>
      </c>
      <c r="B10" s="104" t="s">
        <v>424</v>
      </c>
      <c r="C10" s="104" t="s">
        <v>429</v>
      </c>
      <c r="E10" s="104" t="s">
        <v>436</v>
      </c>
      <c r="F10" s="104" t="s">
        <v>437</v>
      </c>
      <c r="H10" s="104" t="s">
        <v>410</v>
      </c>
      <c r="I10" s="104" t="s">
        <v>410</v>
      </c>
      <c r="K10" s="104">
        <v>9</v>
      </c>
      <c r="L10" s="104" t="s">
        <v>431</v>
      </c>
      <c r="M10" s="104">
        <v>2.1700000000000001E-2</v>
      </c>
      <c r="N10" s="104">
        <v>0</v>
      </c>
      <c r="O10" s="104">
        <v>4131</v>
      </c>
      <c r="V10" s="104">
        <v>-40</v>
      </c>
      <c r="W10" s="104">
        <v>80</v>
      </c>
      <c r="Z10" s="104">
        <v>43166</v>
      </c>
      <c r="AM10" s="104">
        <v>0.5</v>
      </c>
      <c r="AN10" s="104">
        <v>124</v>
      </c>
      <c r="AO10" s="104">
        <v>124</v>
      </c>
    </row>
    <row r="11" spans="1:46" s="104" customFormat="1" ht="13.2" x14ac:dyDescent="0.25">
      <c r="A11" s="104" t="s">
        <v>438</v>
      </c>
      <c r="B11" s="104" t="s">
        <v>424</v>
      </c>
      <c r="C11" s="104" t="s">
        <v>429</v>
      </c>
      <c r="E11" s="104" t="s">
        <v>439</v>
      </c>
      <c r="F11" s="104" t="s">
        <v>437</v>
      </c>
      <c r="H11" s="104" t="s">
        <v>410</v>
      </c>
      <c r="I11" s="104" t="s">
        <v>410</v>
      </c>
      <c r="J11" s="104" t="s">
        <v>440</v>
      </c>
      <c r="K11" s="104">
        <v>9</v>
      </c>
      <c r="L11" s="104" t="s">
        <v>431</v>
      </c>
      <c r="M11" s="104">
        <v>2.1700000000000001E-2</v>
      </c>
      <c r="N11" s="104">
        <v>0</v>
      </c>
      <c r="O11" s="104">
        <v>5039</v>
      </c>
      <c r="V11" s="104">
        <v>-40</v>
      </c>
      <c r="W11" s="104">
        <v>80</v>
      </c>
      <c r="Z11" s="104">
        <v>43166</v>
      </c>
      <c r="AM11" s="104">
        <v>0.5</v>
      </c>
      <c r="AN11" s="104">
        <v>124</v>
      </c>
      <c r="AO11" s="104">
        <v>124</v>
      </c>
    </row>
    <row r="12" spans="1:46" s="104" customFormat="1" ht="13.2" x14ac:dyDescent="0.25">
      <c r="A12" s="104" t="s">
        <v>441</v>
      </c>
      <c r="B12" s="104" t="s">
        <v>424</v>
      </c>
      <c r="C12" s="104" t="s">
        <v>429</v>
      </c>
      <c r="D12" s="104" t="s">
        <v>442</v>
      </c>
      <c r="E12" s="104" t="s">
        <v>443</v>
      </c>
      <c r="F12" s="104" t="s">
        <v>444</v>
      </c>
      <c r="H12" s="104" t="s">
        <v>410</v>
      </c>
      <c r="I12" s="104" t="s">
        <v>410</v>
      </c>
      <c r="J12" s="104" t="s">
        <v>445</v>
      </c>
      <c r="K12" s="104" t="s">
        <v>35</v>
      </c>
      <c r="L12" s="104" t="s">
        <v>410</v>
      </c>
      <c r="M12" s="104">
        <v>0.08</v>
      </c>
      <c r="N12" s="104">
        <v>0.3</v>
      </c>
      <c r="O12" s="104">
        <v>4800</v>
      </c>
      <c r="P12" s="104">
        <v>3.3</v>
      </c>
      <c r="Q12" s="104">
        <v>0.03</v>
      </c>
      <c r="R12" s="104">
        <v>0.09</v>
      </c>
      <c r="S12" s="104">
        <v>98</v>
      </c>
      <c r="T12" s="104">
        <v>96</v>
      </c>
      <c r="U12" s="104">
        <v>40</v>
      </c>
      <c r="V12" s="104">
        <v>-10</v>
      </c>
      <c r="W12" s="104">
        <v>70</v>
      </c>
      <c r="Z12" s="104">
        <v>43166</v>
      </c>
      <c r="AM12" s="104">
        <v>0.2</v>
      </c>
      <c r="AN12" s="104">
        <v>150</v>
      </c>
      <c r="AO12" s="104">
        <v>150</v>
      </c>
    </row>
    <row r="13" spans="1:46" s="104" customFormat="1" ht="13.2" x14ac:dyDescent="0.25">
      <c r="A13" s="104" t="s">
        <v>446</v>
      </c>
      <c r="B13" s="104" t="s">
        <v>424</v>
      </c>
      <c r="C13" s="104" t="s">
        <v>442</v>
      </c>
      <c r="E13" s="104" t="s">
        <v>447</v>
      </c>
      <c r="F13" s="104" t="s">
        <v>448</v>
      </c>
      <c r="H13" s="104" t="s">
        <v>410</v>
      </c>
      <c r="I13" s="104" t="s">
        <v>410</v>
      </c>
      <c r="J13" s="104" t="s">
        <v>449</v>
      </c>
      <c r="K13" s="104" t="s">
        <v>35</v>
      </c>
      <c r="L13" s="104" t="s">
        <v>431</v>
      </c>
      <c r="M13" s="104">
        <v>3.3000000000000002E-2</v>
      </c>
      <c r="N13" s="104">
        <f>P13*Q13</f>
        <v>0.13200000000000001</v>
      </c>
      <c r="O13" s="104">
        <v>14900</v>
      </c>
      <c r="P13" s="104">
        <v>3.3</v>
      </c>
      <c r="Q13" s="104">
        <v>0.04</v>
      </c>
      <c r="S13" s="104">
        <v>43.3</v>
      </c>
      <c r="T13" s="104">
        <v>31.8</v>
      </c>
      <c r="U13" s="104">
        <v>31.8</v>
      </c>
      <c r="Z13" s="104">
        <v>43166</v>
      </c>
      <c r="AM13" s="104">
        <v>1</v>
      </c>
      <c r="AN13" s="104">
        <v>60</v>
      </c>
      <c r="AO13" s="104">
        <v>60</v>
      </c>
    </row>
    <row r="14" spans="1:46" s="104" customFormat="1" ht="13.2" x14ac:dyDescent="0.25">
      <c r="A14" s="104" t="s">
        <v>450</v>
      </c>
      <c r="B14" s="104" t="s">
        <v>424</v>
      </c>
      <c r="C14" s="104" t="s">
        <v>451</v>
      </c>
      <c r="E14" s="104" t="s">
        <v>452</v>
      </c>
      <c r="F14" s="104" t="s">
        <v>448</v>
      </c>
      <c r="H14" s="104" t="s">
        <v>410</v>
      </c>
      <c r="I14" s="104" t="s">
        <v>410</v>
      </c>
      <c r="L14" s="104" t="s">
        <v>411</v>
      </c>
      <c r="M14" s="104">
        <v>0.28199999999999997</v>
      </c>
      <c r="N14" s="104">
        <v>1.5</v>
      </c>
      <c r="O14" s="104">
        <v>32500</v>
      </c>
      <c r="P14" s="104">
        <v>5</v>
      </c>
      <c r="Q14" s="104">
        <v>0.3</v>
      </c>
      <c r="R14" s="104">
        <v>0.7</v>
      </c>
      <c r="S14" s="104">
        <v>55</v>
      </c>
      <c r="T14" s="104">
        <v>65</v>
      </c>
      <c r="U14" s="104">
        <v>70</v>
      </c>
      <c r="V14" s="104">
        <v>-40</v>
      </c>
      <c r="W14" s="104">
        <v>80</v>
      </c>
      <c r="Z14" s="104">
        <v>43166</v>
      </c>
    </row>
    <row r="15" spans="1:46" s="104" customFormat="1" ht="13.2" x14ac:dyDescent="0.25">
      <c r="A15" s="104" t="s">
        <v>453</v>
      </c>
      <c r="B15" s="104" t="s">
        <v>424</v>
      </c>
      <c r="C15" s="104" t="s">
        <v>429</v>
      </c>
      <c r="E15" s="104" t="s">
        <v>454</v>
      </c>
      <c r="F15" s="104" t="s">
        <v>455</v>
      </c>
      <c r="H15" s="104" t="s">
        <v>410</v>
      </c>
      <c r="I15" s="104" t="s">
        <v>410</v>
      </c>
      <c r="K15" s="104">
        <v>9</v>
      </c>
      <c r="L15" s="104" t="s">
        <v>431</v>
      </c>
      <c r="M15" s="104">
        <v>3.7000000000000002E-3</v>
      </c>
      <c r="N15" s="104">
        <f>P15*Q15</f>
        <v>6.6E-3</v>
      </c>
      <c r="O15" s="104">
        <v>2200</v>
      </c>
      <c r="P15" s="104">
        <v>3.3</v>
      </c>
      <c r="Q15" s="104">
        <v>2E-3</v>
      </c>
      <c r="S15" s="104">
        <v>27.4</v>
      </c>
      <c r="T15" s="104">
        <v>14</v>
      </c>
      <c r="U15" s="104">
        <v>5.9</v>
      </c>
      <c r="V15" s="104">
        <v>-30</v>
      </c>
      <c r="W15" s="104">
        <v>85</v>
      </c>
      <c r="Z15" s="104">
        <v>43166</v>
      </c>
      <c r="AL15" s="104">
        <v>0.1</v>
      </c>
      <c r="AM15" s="104">
        <v>0.5</v>
      </c>
      <c r="AN15" s="104">
        <v>120</v>
      </c>
      <c r="AO15" s="104">
        <v>120</v>
      </c>
    </row>
    <row r="16" spans="1:46" s="104" customFormat="1" ht="13.2" x14ac:dyDescent="0.25">
      <c r="A16" s="104" t="s">
        <v>456</v>
      </c>
      <c r="B16" s="104" t="s">
        <v>424</v>
      </c>
      <c r="C16" s="104" t="s">
        <v>429</v>
      </c>
      <c r="E16" s="104" t="s">
        <v>457</v>
      </c>
      <c r="F16" s="104" t="s">
        <v>455</v>
      </c>
      <c r="H16" s="104" t="s">
        <v>410</v>
      </c>
      <c r="I16" s="104" t="s">
        <v>410</v>
      </c>
      <c r="K16" s="104">
        <v>9</v>
      </c>
      <c r="L16" s="104" t="s">
        <v>431</v>
      </c>
      <c r="M16" s="104">
        <v>6.4999999999999997E-3</v>
      </c>
      <c r="N16" s="104">
        <f>P16*Q16</f>
        <v>7.5899999999999995E-2</v>
      </c>
      <c r="O16" s="104">
        <v>3600</v>
      </c>
      <c r="P16" s="104">
        <v>3.3</v>
      </c>
      <c r="Q16" s="104">
        <v>2.3E-2</v>
      </c>
      <c r="S16" s="104">
        <v>43</v>
      </c>
      <c r="T16" s="104">
        <v>14</v>
      </c>
      <c r="U16" s="104">
        <v>5.9</v>
      </c>
      <c r="V16" s="104">
        <v>-30</v>
      </c>
      <c r="W16" s="104">
        <v>85</v>
      </c>
      <c r="Z16" s="104">
        <v>43166</v>
      </c>
      <c r="AL16" s="104">
        <v>0.1</v>
      </c>
      <c r="AM16" s="104">
        <v>0.5</v>
      </c>
      <c r="AN16" s="104">
        <v>120</v>
      </c>
      <c r="AO16" s="104">
        <v>120</v>
      </c>
    </row>
    <row r="17" spans="1:46" s="104" customFormat="1" ht="13.2" x14ac:dyDescent="0.25">
      <c r="A17" s="104" t="s">
        <v>458</v>
      </c>
      <c r="B17" s="104" t="s">
        <v>424</v>
      </c>
      <c r="C17" s="104" t="s">
        <v>429</v>
      </c>
      <c r="E17" s="104" t="s">
        <v>459</v>
      </c>
      <c r="F17" s="104" t="s">
        <v>460</v>
      </c>
      <c r="H17" s="104" t="s">
        <v>410</v>
      </c>
      <c r="I17" s="104" t="s">
        <v>410</v>
      </c>
      <c r="K17" s="104">
        <v>9</v>
      </c>
      <c r="L17" s="104" t="s">
        <v>431</v>
      </c>
      <c r="M17" s="104">
        <v>5.0000000000000001E-3</v>
      </c>
      <c r="N17" s="104">
        <f>P17*Q17</f>
        <v>0.05</v>
      </c>
      <c r="O17" s="104">
        <v>3300</v>
      </c>
      <c r="P17" s="104">
        <v>5</v>
      </c>
      <c r="Q17" s="104">
        <v>0.01</v>
      </c>
      <c r="S17" s="104">
        <v>33</v>
      </c>
      <c r="T17" s="104">
        <v>11</v>
      </c>
      <c r="U17" s="104">
        <v>6</v>
      </c>
      <c r="V17" s="104">
        <v>-25</v>
      </c>
      <c r="W17" s="104">
        <v>50</v>
      </c>
      <c r="Z17" s="104">
        <v>43166</v>
      </c>
      <c r="AM17" s="104">
        <v>0.5</v>
      </c>
      <c r="AN17" s="104">
        <v>114</v>
      </c>
      <c r="AO17" s="104">
        <v>114</v>
      </c>
    </row>
    <row r="18" spans="1:46" s="104" customFormat="1" ht="13.2" x14ac:dyDescent="0.25">
      <c r="A18" s="104" t="s">
        <v>461</v>
      </c>
      <c r="B18" s="104" t="s">
        <v>424</v>
      </c>
      <c r="C18" s="104" t="s">
        <v>429</v>
      </c>
      <c r="E18" s="104" t="s">
        <v>462</v>
      </c>
      <c r="F18" s="104" t="s">
        <v>460</v>
      </c>
      <c r="H18" s="104" t="s">
        <v>410</v>
      </c>
      <c r="I18" s="104" t="s">
        <v>410</v>
      </c>
      <c r="J18" s="104" t="s">
        <v>463</v>
      </c>
      <c r="K18" s="104">
        <v>9</v>
      </c>
      <c r="L18" s="104" t="s">
        <v>431</v>
      </c>
      <c r="M18" s="104">
        <v>3.5000000000000003E-2</v>
      </c>
      <c r="N18" s="104">
        <f>P18*Q18</f>
        <v>0.05</v>
      </c>
      <c r="O18" s="104">
        <v>12000</v>
      </c>
      <c r="P18" s="104">
        <v>5</v>
      </c>
      <c r="Q18" s="104">
        <v>0.01</v>
      </c>
      <c r="S18" s="104">
        <v>34</v>
      </c>
      <c r="T18" s="104">
        <v>32</v>
      </c>
      <c r="U18" s="104">
        <v>21</v>
      </c>
      <c r="V18" s="104">
        <v>-25</v>
      </c>
      <c r="W18" s="104">
        <v>50</v>
      </c>
      <c r="Z18" s="104">
        <v>43166</v>
      </c>
      <c r="AM18" s="104">
        <v>0.1</v>
      </c>
      <c r="AN18" s="104">
        <v>140</v>
      </c>
      <c r="AO18" s="104">
        <v>140</v>
      </c>
    </row>
    <row r="19" spans="1:46" s="104" customFormat="1" ht="13.2" x14ac:dyDescent="0.25">
      <c r="A19" s="104" t="s">
        <v>464</v>
      </c>
      <c r="B19" s="104" t="s">
        <v>424</v>
      </c>
      <c r="C19" s="104" t="s">
        <v>403</v>
      </c>
      <c r="E19" s="104" t="s">
        <v>465</v>
      </c>
      <c r="F19" s="104" t="s">
        <v>460</v>
      </c>
      <c r="H19" s="104" t="s">
        <v>410</v>
      </c>
      <c r="I19" s="104" t="s">
        <v>410</v>
      </c>
      <c r="L19" s="104" t="s">
        <v>410</v>
      </c>
      <c r="M19" s="104">
        <v>0.11</v>
      </c>
      <c r="N19" s="104">
        <v>1</v>
      </c>
      <c r="O19" s="104" t="s">
        <v>412</v>
      </c>
      <c r="P19" s="104">
        <v>5</v>
      </c>
      <c r="Q19" s="104">
        <v>0.2</v>
      </c>
      <c r="S19" s="104">
        <v>155</v>
      </c>
      <c r="T19" s="104">
        <v>76</v>
      </c>
      <c r="U19" s="104">
        <v>34</v>
      </c>
      <c r="V19" s="104">
        <v>-10</v>
      </c>
      <c r="W19" s="104">
        <v>50</v>
      </c>
      <c r="Z19" s="104">
        <v>43166</v>
      </c>
      <c r="AP19" s="104">
        <v>10</v>
      </c>
      <c r="AQ19" s="104">
        <v>0.25</v>
      </c>
      <c r="AR19" s="104" t="s">
        <v>466</v>
      </c>
    </row>
    <row r="20" spans="1:46" s="104" customFormat="1" ht="13.2" x14ac:dyDescent="0.25">
      <c r="A20" s="104" t="s">
        <v>467</v>
      </c>
      <c r="B20" s="104" t="s">
        <v>424</v>
      </c>
      <c r="C20" s="104" t="s">
        <v>429</v>
      </c>
      <c r="E20" s="104" t="s">
        <v>468</v>
      </c>
      <c r="F20" s="104" t="s">
        <v>455</v>
      </c>
      <c r="H20" s="104" t="s">
        <v>410</v>
      </c>
      <c r="I20" s="104" t="s">
        <v>410</v>
      </c>
      <c r="K20" s="104">
        <v>8</v>
      </c>
      <c r="L20" s="104" t="s">
        <v>431</v>
      </c>
      <c r="M20" s="104">
        <v>2.5000000000000001E-2</v>
      </c>
      <c r="N20" s="104">
        <v>3.5999999999999997E-2</v>
      </c>
      <c r="O20" s="104">
        <v>7200</v>
      </c>
      <c r="P20" s="104">
        <v>5</v>
      </c>
      <c r="Q20" s="104">
        <f>N20/P20</f>
        <v>7.1999999999999998E-3</v>
      </c>
      <c r="S20" s="104">
        <v>30</v>
      </c>
      <c r="T20" s="104">
        <v>30</v>
      </c>
      <c r="U20" s="104">
        <v>12</v>
      </c>
      <c r="V20" s="104">
        <v>-40</v>
      </c>
      <c r="W20" s="104">
        <v>85</v>
      </c>
      <c r="Z20" s="104">
        <v>43166</v>
      </c>
      <c r="AL20" s="104">
        <v>0.1</v>
      </c>
      <c r="AM20" s="104">
        <v>0.3</v>
      </c>
      <c r="AN20" s="104">
        <v>120</v>
      </c>
      <c r="AO20" s="104">
        <v>120</v>
      </c>
    </row>
    <row r="21" spans="1:46" s="104" customFormat="1" ht="13.2" x14ac:dyDescent="0.25">
      <c r="A21" s="104" t="s">
        <v>469</v>
      </c>
      <c r="B21" s="104" t="s">
        <v>424</v>
      </c>
      <c r="C21" s="104" t="s">
        <v>429</v>
      </c>
      <c r="E21" s="104" t="s">
        <v>470</v>
      </c>
      <c r="F21" s="104" t="s">
        <v>455</v>
      </c>
      <c r="H21" s="104" t="s">
        <v>410</v>
      </c>
      <c r="I21" s="104" t="s">
        <v>410</v>
      </c>
      <c r="K21" s="104">
        <v>8</v>
      </c>
      <c r="L21" s="104" t="s">
        <v>431</v>
      </c>
      <c r="M21" s="104">
        <v>6.4999999999999997E-3</v>
      </c>
      <c r="N21" s="104">
        <f>P21*Q21</f>
        <v>0.11499999999999999</v>
      </c>
      <c r="O21" s="104">
        <v>12200</v>
      </c>
      <c r="P21" s="104">
        <v>5</v>
      </c>
      <c r="Q21" s="104">
        <v>2.3E-2</v>
      </c>
      <c r="S21" s="104">
        <v>60</v>
      </c>
      <c r="T21" s="104">
        <v>30</v>
      </c>
      <c r="U21" s="104">
        <v>12</v>
      </c>
      <c r="V21" s="104">
        <v>-40</v>
      </c>
      <c r="W21" s="104">
        <v>85</v>
      </c>
      <c r="Z21" s="104">
        <v>43166</v>
      </c>
      <c r="AL21" s="104">
        <v>0.05</v>
      </c>
      <c r="AM21" s="104">
        <v>0.3</v>
      </c>
      <c r="AN21" s="104">
        <v>120</v>
      </c>
      <c r="AO21" s="104">
        <v>120</v>
      </c>
    </row>
    <row r="22" spans="1:46" s="104" customFormat="1" ht="13.2" x14ac:dyDescent="0.25">
      <c r="A22" s="104" t="s">
        <v>471</v>
      </c>
      <c r="B22" s="104" t="s">
        <v>424</v>
      </c>
      <c r="C22" s="104" t="s">
        <v>425</v>
      </c>
      <c r="E22" s="104" t="s">
        <v>472</v>
      </c>
      <c r="F22" s="104" t="s">
        <v>460</v>
      </c>
      <c r="H22" s="104" t="s">
        <v>410</v>
      </c>
      <c r="I22" s="104" t="s">
        <v>410</v>
      </c>
      <c r="L22" s="104" t="s">
        <v>410</v>
      </c>
      <c r="M22" s="104">
        <v>0.2</v>
      </c>
      <c r="N22" s="104">
        <v>0.7</v>
      </c>
      <c r="O22" s="104">
        <v>15000</v>
      </c>
      <c r="P22" s="104">
        <v>5</v>
      </c>
      <c r="Q22" s="104">
        <f>N22/P22</f>
        <v>0.13999999999999999</v>
      </c>
      <c r="S22" s="104">
        <v>96</v>
      </c>
      <c r="T22" s="104">
        <v>43</v>
      </c>
      <c r="U22" s="104">
        <v>17</v>
      </c>
      <c r="V22" s="104">
        <v>-35</v>
      </c>
      <c r="W22" s="104">
        <v>75</v>
      </c>
      <c r="Z22" s="104">
        <v>43166</v>
      </c>
      <c r="AF22" s="104">
        <v>3</v>
      </c>
      <c r="AJ22" s="104">
        <v>0.5</v>
      </c>
      <c r="AK22" s="104">
        <v>60</v>
      </c>
    </row>
    <row r="23" spans="1:46" s="104" customFormat="1" ht="13.2" x14ac:dyDescent="0.25">
      <c r="A23" s="104" t="s">
        <v>473</v>
      </c>
      <c r="B23" s="104" t="s">
        <v>424</v>
      </c>
      <c r="C23" s="104" t="s">
        <v>451</v>
      </c>
      <c r="E23" s="104" t="s">
        <v>474</v>
      </c>
      <c r="F23" s="104" t="s">
        <v>475</v>
      </c>
      <c r="H23" s="104" t="s">
        <v>410</v>
      </c>
      <c r="I23" s="104" t="s">
        <v>410</v>
      </c>
      <c r="L23" s="104" t="s">
        <v>411</v>
      </c>
      <c r="M23" s="104">
        <v>0.245</v>
      </c>
      <c r="N23" s="104">
        <v>1</v>
      </c>
      <c r="O23" s="104">
        <v>80000</v>
      </c>
      <c r="P23" s="104">
        <v>5</v>
      </c>
      <c r="Q23" s="104">
        <v>0.2</v>
      </c>
      <c r="S23" s="104">
        <v>50</v>
      </c>
      <c r="T23" s="104">
        <v>50</v>
      </c>
      <c r="U23" s="104">
        <v>113</v>
      </c>
      <c r="V23" s="104">
        <v>-30</v>
      </c>
      <c r="W23" s="104">
        <v>60</v>
      </c>
      <c r="X23" s="104">
        <v>3</v>
      </c>
      <c r="Z23" s="104">
        <v>43166</v>
      </c>
      <c r="AM23" s="104">
        <v>1.9E-3</v>
      </c>
      <c r="AN23" s="104">
        <v>15</v>
      </c>
      <c r="AO23" s="104">
        <v>12</v>
      </c>
    </row>
    <row r="24" spans="1:46" s="104" customFormat="1" ht="13.2" x14ac:dyDescent="0.25">
      <c r="A24" s="104" t="s">
        <v>476</v>
      </c>
      <c r="B24" s="104" t="s">
        <v>415</v>
      </c>
      <c r="C24" s="104" t="s">
        <v>416</v>
      </c>
      <c r="E24" s="104" t="s">
        <v>477</v>
      </c>
      <c r="F24" s="104" t="s">
        <v>478</v>
      </c>
      <c r="G24" s="104" t="s">
        <v>479</v>
      </c>
      <c r="H24" s="104" t="s">
        <v>410</v>
      </c>
      <c r="I24" s="104" t="s">
        <v>410</v>
      </c>
      <c r="J24" s="104" t="s">
        <v>480</v>
      </c>
      <c r="L24" s="104" t="s">
        <v>411</v>
      </c>
      <c r="M24" s="104">
        <v>1.5</v>
      </c>
      <c r="N24" s="104">
        <v>28</v>
      </c>
      <c r="O24" s="104" t="s">
        <v>412</v>
      </c>
      <c r="V24" s="104">
        <v>-30</v>
      </c>
      <c r="W24" s="104">
        <v>60</v>
      </c>
      <c r="Z24" s="104">
        <v>43169</v>
      </c>
      <c r="AA24" s="104" t="s">
        <v>481</v>
      </c>
      <c r="AB24" s="104" t="s">
        <v>482</v>
      </c>
      <c r="AC24" s="104">
        <v>6500</v>
      </c>
      <c r="AD24" s="104">
        <v>40</v>
      </c>
    </row>
    <row r="25" spans="1:46" s="104" customFormat="1" ht="13.2" x14ac:dyDescent="0.25">
      <c r="A25" s="104" t="s">
        <v>483</v>
      </c>
      <c r="B25" s="104" t="s">
        <v>407</v>
      </c>
      <c r="C25" s="104" t="s">
        <v>407</v>
      </c>
      <c r="E25" s="104" t="s">
        <v>484</v>
      </c>
      <c r="F25" s="104" t="s">
        <v>478</v>
      </c>
      <c r="G25" s="104" t="s">
        <v>485</v>
      </c>
      <c r="H25" s="104" t="s">
        <v>410</v>
      </c>
      <c r="I25" s="104" t="s">
        <v>410</v>
      </c>
      <c r="J25" s="104" t="s">
        <v>486</v>
      </c>
      <c r="K25" s="104">
        <v>9</v>
      </c>
      <c r="L25" s="104" t="s">
        <v>431</v>
      </c>
      <c r="M25" s="104">
        <v>0.28000000000000003</v>
      </c>
      <c r="N25" s="104">
        <v>0</v>
      </c>
      <c r="O25" s="104" t="s">
        <v>412</v>
      </c>
      <c r="S25" s="104">
        <v>100</v>
      </c>
      <c r="T25" s="104">
        <v>100</v>
      </c>
      <c r="U25" s="104">
        <v>33</v>
      </c>
      <c r="Z25" s="104">
        <v>43169</v>
      </c>
      <c r="AA25" s="104" t="s">
        <v>487</v>
      </c>
      <c r="AB25" s="104" t="s">
        <v>35</v>
      </c>
    </row>
    <row r="26" spans="1:46" s="104" customFormat="1" ht="13.2" x14ac:dyDescent="0.25">
      <c r="A26" s="104" t="s">
        <v>488</v>
      </c>
      <c r="B26" s="104" t="s">
        <v>424</v>
      </c>
      <c r="C26" s="104" t="s">
        <v>425</v>
      </c>
      <c r="E26" s="104" t="s">
        <v>489</v>
      </c>
      <c r="F26" s="104" t="s">
        <v>490</v>
      </c>
      <c r="H26" s="104" t="s">
        <v>410</v>
      </c>
      <c r="I26" s="104" t="s">
        <v>410</v>
      </c>
      <c r="K26" s="104">
        <v>9</v>
      </c>
      <c r="L26" s="104" t="s">
        <v>431</v>
      </c>
      <c r="M26" s="104">
        <v>0.22</v>
      </c>
      <c r="N26" s="104">
        <v>1</v>
      </c>
      <c r="P26" s="104">
        <v>12</v>
      </c>
      <c r="S26" s="104">
        <v>100</v>
      </c>
      <c r="T26" s="104">
        <v>50</v>
      </c>
      <c r="U26" s="104">
        <v>40</v>
      </c>
      <c r="V26" s="104">
        <v>-30</v>
      </c>
      <c r="W26" s="104">
        <v>60</v>
      </c>
      <c r="Z26" s="104">
        <v>43169</v>
      </c>
      <c r="AA26" s="104" t="s">
        <v>491</v>
      </c>
      <c r="AB26" s="104" t="s">
        <v>35</v>
      </c>
      <c r="AK26" s="104">
        <v>64</v>
      </c>
      <c r="AM26" s="104">
        <v>1</v>
      </c>
    </row>
    <row r="27" spans="1:46" s="104" customFormat="1" ht="13.2" x14ac:dyDescent="0.25">
      <c r="A27" s="104" t="s">
        <v>492</v>
      </c>
      <c r="B27" s="104" t="s">
        <v>415</v>
      </c>
      <c r="C27" s="104" t="s">
        <v>419</v>
      </c>
      <c r="E27" s="104" t="s">
        <v>493</v>
      </c>
      <c r="F27" s="104" t="s">
        <v>490</v>
      </c>
      <c r="H27" s="104" t="s">
        <v>410</v>
      </c>
      <c r="I27" s="104" t="s">
        <v>410</v>
      </c>
      <c r="K27" s="104">
        <v>9</v>
      </c>
      <c r="L27" s="104" t="s">
        <v>410</v>
      </c>
      <c r="M27" s="104">
        <v>0.5</v>
      </c>
      <c r="N27" s="104">
        <v>1</v>
      </c>
      <c r="P27" s="104">
        <v>15</v>
      </c>
      <c r="S27" s="104">
        <v>250</v>
      </c>
      <c r="T27" s="104">
        <v>56</v>
      </c>
      <c r="U27" s="104">
        <v>29</v>
      </c>
      <c r="V27" s="104">
        <v>-30</v>
      </c>
      <c r="W27" s="104">
        <v>60</v>
      </c>
      <c r="Z27" s="104">
        <v>43169</v>
      </c>
      <c r="AA27" s="104" t="s">
        <v>494</v>
      </c>
      <c r="AB27" s="104" t="s">
        <v>35</v>
      </c>
      <c r="AI27" s="104">
        <v>12000</v>
      </c>
    </row>
    <row r="28" spans="1:46" s="104" customFormat="1" ht="13.2" x14ac:dyDescent="0.25">
      <c r="A28" s="104" t="s">
        <v>495</v>
      </c>
      <c r="B28" s="104" t="s">
        <v>424</v>
      </c>
      <c r="C28" s="104" t="s">
        <v>403</v>
      </c>
      <c r="E28" s="104" t="s">
        <v>496</v>
      </c>
      <c r="F28" s="104" t="s">
        <v>490</v>
      </c>
      <c r="H28" s="104" t="s">
        <v>410</v>
      </c>
      <c r="I28" s="104" t="s">
        <v>410</v>
      </c>
      <c r="L28" s="104" t="s">
        <v>497</v>
      </c>
      <c r="M28" s="104">
        <v>0.5</v>
      </c>
      <c r="N28" s="104">
        <v>2.5</v>
      </c>
      <c r="P28" s="104">
        <v>5</v>
      </c>
      <c r="S28" s="104">
        <v>107</v>
      </c>
      <c r="T28" s="104">
        <v>131</v>
      </c>
      <c r="U28" s="104">
        <v>31</v>
      </c>
      <c r="V28" s="104">
        <v>-20</v>
      </c>
      <c r="W28" s="104">
        <v>60</v>
      </c>
      <c r="Z28" s="104">
        <v>43169</v>
      </c>
      <c r="AA28" s="104" t="s">
        <v>498</v>
      </c>
      <c r="AB28" s="104" t="s">
        <v>35</v>
      </c>
      <c r="AP28" s="104">
        <v>3</v>
      </c>
      <c r="AQ28" s="104">
        <v>1</v>
      </c>
      <c r="AR28" s="104" t="s">
        <v>499</v>
      </c>
    </row>
    <row r="29" spans="1:46" s="104" customFormat="1" ht="13.2" x14ac:dyDescent="0.25">
      <c r="A29" s="104" t="s">
        <v>500</v>
      </c>
      <c r="B29" s="104" t="s">
        <v>424</v>
      </c>
      <c r="C29" s="104" t="s">
        <v>442</v>
      </c>
      <c r="E29" s="104" t="s">
        <v>501</v>
      </c>
      <c r="F29" s="104" t="s">
        <v>490</v>
      </c>
      <c r="H29" s="104" t="s">
        <v>410</v>
      </c>
      <c r="I29" s="104" t="s">
        <v>410</v>
      </c>
      <c r="K29" s="104">
        <v>9</v>
      </c>
      <c r="L29" s="104" t="s">
        <v>410</v>
      </c>
      <c r="M29" s="104">
        <v>0.25</v>
      </c>
      <c r="N29" s="104">
        <v>1</v>
      </c>
      <c r="P29" s="104">
        <v>5</v>
      </c>
      <c r="S29" s="104">
        <v>40</v>
      </c>
      <c r="T29" s="104">
        <v>40</v>
      </c>
      <c r="U29" s="104">
        <v>55</v>
      </c>
      <c r="V29" s="104">
        <v>-25</v>
      </c>
      <c r="W29" s="104">
        <v>60</v>
      </c>
      <c r="Z29" s="104">
        <v>43169</v>
      </c>
      <c r="AA29" s="104" t="s">
        <v>502</v>
      </c>
      <c r="AB29" s="104">
        <v>10</v>
      </c>
      <c r="AM29" s="104">
        <v>1</v>
      </c>
      <c r="AN29" s="104">
        <v>33</v>
      </c>
      <c r="AO29" s="104">
        <v>33</v>
      </c>
    </row>
    <row r="30" spans="1:46" s="104" customFormat="1" ht="13.2" x14ac:dyDescent="0.25">
      <c r="A30" s="104" t="s">
        <v>503</v>
      </c>
      <c r="B30" s="104" t="s">
        <v>415</v>
      </c>
      <c r="C30" s="104" t="s">
        <v>416</v>
      </c>
      <c r="E30" s="104" t="s">
        <v>286</v>
      </c>
      <c r="F30" s="104" t="s">
        <v>490</v>
      </c>
      <c r="H30" s="104" t="s">
        <v>410</v>
      </c>
      <c r="I30" s="104" t="s">
        <v>410</v>
      </c>
      <c r="K30" s="104">
        <v>9</v>
      </c>
      <c r="L30" s="104" t="s">
        <v>411</v>
      </c>
      <c r="M30" s="104">
        <v>1.1000000000000001</v>
      </c>
      <c r="N30" s="104">
        <v>3</v>
      </c>
      <c r="O30" s="104" t="s">
        <v>583</v>
      </c>
      <c r="P30" s="104">
        <v>5</v>
      </c>
      <c r="S30" s="104">
        <v>98</v>
      </c>
      <c r="T30" s="104">
        <v>98</v>
      </c>
      <c r="U30" s="104">
        <v>65</v>
      </c>
      <c r="V30" s="104">
        <v>-10</v>
      </c>
      <c r="W30" s="104">
        <v>50</v>
      </c>
      <c r="Z30" s="104">
        <v>43169</v>
      </c>
      <c r="AA30" s="104" t="s">
        <v>504</v>
      </c>
      <c r="AB30" s="104" t="s">
        <v>35</v>
      </c>
      <c r="AC30" s="104">
        <v>5000</v>
      </c>
      <c r="AD30" s="104">
        <v>20</v>
      </c>
      <c r="AE30" s="104">
        <v>300</v>
      </c>
      <c r="AT30" s="104">
        <v>8.3299999999999999E-2</v>
      </c>
    </row>
    <row r="31" spans="1:46" s="104" customFormat="1" ht="13.2" x14ac:dyDescent="0.25">
      <c r="A31" s="104" t="s">
        <v>505</v>
      </c>
      <c r="B31" s="104" t="s">
        <v>424</v>
      </c>
      <c r="C31" s="104" t="s">
        <v>506</v>
      </c>
      <c r="E31" s="104" t="s">
        <v>507</v>
      </c>
      <c r="F31" s="104" t="s">
        <v>490</v>
      </c>
      <c r="G31" s="104" t="s">
        <v>508</v>
      </c>
      <c r="H31" s="104" t="s">
        <v>410</v>
      </c>
      <c r="J31" s="104" t="s">
        <v>509</v>
      </c>
      <c r="M31" s="104">
        <v>1.2</v>
      </c>
      <c r="N31" s="104">
        <v>3.5</v>
      </c>
      <c r="O31" s="104" t="s">
        <v>583</v>
      </c>
      <c r="P31" s="104" t="s">
        <v>510</v>
      </c>
      <c r="S31" s="104">
        <v>135</v>
      </c>
      <c r="T31" s="104">
        <v>150</v>
      </c>
      <c r="U31" s="104">
        <v>48</v>
      </c>
      <c r="V31" s="104">
        <v>-10</v>
      </c>
      <c r="W31" s="104">
        <v>50</v>
      </c>
      <c r="Z31" s="104">
        <v>43169</v>
      </c>
    </row>
    <row r="32" spans="1:46" s="104" customFormat="1" ht="13.2" x14ac:dyDescent="0.25">
      <c r="A32" s="104" t="s">
        <v>511</v>
      </c>
      <c r="B32" s="104" t="s">
        <v>415</v>
      </c>
      <c r="C32" s="104" t="s">
        <v>419</v>
      </c>
      <c r="E32" s="104" t="s">
        <v>512</v>
      </c>
      <c r="F32" s="104" t="s">
        <v>513</v>
      </c>
      <c r="H32" s="104" t="s">
        <v>410</v>
      </c>
      <c r="I32" s="104" t="s">
        <v>410</v>
      </c>
      <c r="L32" s="104" t="s">
        <v>411</v>
      </c>
      <c r="M32" s="104">
        <v>0.19600000000000001</v>
      </c>
      <c r="N32" s="104">
        <v>1.2</v>
      </c>
      <c r="O32" s="104">
        <v>8000</v>
      </c>
      <c r="P32" s="104">
        <v>5</v>
      </c>
      <c r="Q32" s="104">
        <f>N32/P32</f>
        <v>0.24</v>
      </c>
      <c r="S32" s="104">
        <v>95.9</v>
      </c>
      <c r="T32" s="104">
        <v>90.1</v>
      </c>
      <c r="U32" s="104">
        <v>17</v>
      </c>
      <c r="V32" s="104">
        <v>-40</v>
      </c>
      <c r="W32" s="104">
        <v>70</v>
      </c>
      <c r="Z32" s="104">
        <v>43173</v>
      </c>
      <c r="AA32" s="104" t="s">
        <v>514</v>
      </c>
      <c r="AB32" s="104" t="s">
        <v>35</v>
      </c>
      <c r="AF32" s="104">
        <v>3</v>
      </c>
      <c r="AI32" s="104">
        <v>200</v>
      </c>
    </row>
    <row r="33" spans="1:41" s="104" customFormat="1" ht="13.2" x14ac:dyDescent="0.25">
      <c r="A33" s="104" t="s">
        <v>515</v>
      </c>
      <c r="B33" s="104" t="s">
        <v>424</v>
      </c>
      <c r="C33" s="104" t="s">
        <v>451</v>
      </c>
      <c r="E33" s="104" t="s">
        <v>516</v>
      </c>
      <c r="F33" s="104" t="s">
        <v>517</v>
      </c>
      <c r="H33" s="104" t="s">
        <v>410</v>
      </c>
      <c r="I33" s="104" t="s">
        <v>410</v>
      </c>
      <c r="K33" s="104">
        <v>9</v>
      </c>
      <c r="L33" s="104" t="s">
        <v>411</v>
      </c>
      <c r="M33" s="104">
        <v>1.3</v>
      </c>
      <c r="N33" s="104">
        <v>1.5</v>
      </c>
      <c r="S33" s="104">
        <v>250</v>
      </c>
      <c r="T33" s="104">
        <v>100</v>
      </c>
      <c r="U33" s="104">
        <v>100</v>
      </c>
      <c r="X33" s="104">
        <v>5</v>
      </c>
      <c r="Z33" s="104">
        <v>43173</v>
      </c>
      <c r="AA33" s="104" t="s">
        <v>518</v>
      </c>
      <c r="AB33" s="104" t="s">
        <v>35</v>
      </c>
      <c r="AN33" s="104">
        <v>10</v>
      </c>
      <c r="AO33" s="104">
        <v>12</v>
      </c>
    </row>
    <row r="34" spans="1:41" s="104" customFormat="1" ht="13.2" x14ac:dyDescent="0.25">
      <c r="A34" s="104" t="s">
        <v>519</v>
      </c>
      <c r="B34" s="104" t="s">
        <v>424</v>
      </c>
      <c r="C34" s="104" t="s">
        <v>451</v>
      </c>
      <c r="E34" s="104" t="s">
        <v>520</v>
      </c>
      <c r="F34" s="104" t="s">
        <v>517</v>
      </c>
      <c r="H34" s="104" t="s">
        <v>410</v>
      </c>
      <c r="I34" s="104" t="s">
        <v>410</v>
      </c>
      <c r="K34" s="104">
        <v>9</v>
      </c>
      <c r="L34" s="104" t="s">
        <v>411</v>
      </c>
      <c r="M34" s="104">
        <v>0.2</v>
      </c>
      <c r="N34" s="104">
        <v>1.5</v>
      </c>
      <c r="S34" s="104">
        <v>100</v>
      </c>
      <c r="T34" s="104">
        <v>100</v>
      </c>
      <c r="U34" s="104">
        <v>30</v>
      </c>
      <c r="X34" s="104">
        <v>5</v>
      </c>
      <c r="Z34" s="104">
        <v>43173</v>
      </c>
      <c r="AA34" s="104" t="s">
        <v>518</v>
      </c>
      <c r="AB34" s="104" t="s">
        <v>35</v>
      </c>
      <c r="AN34" s="104">
        <v>10</v>
      </c>
      <c r="AO34" s="104">
        <v>12</v>
      </c>
    </row>
    <row r="35" spans="1:41" s="104" customFormat="1" ht="13.2" x14ac:dyDescent="0.25">
      <c r="A35" s="104" t="s">
        <v>521</v>
      </c>
      <c r="B35" s="104" t="s">
        <v>424</v>
      </c>
      <c r="C35" s="104" t="s">
        <v>451</v>
      </c>
      <c r="E35" s="104" t="s">
        <v>522</v>
      </c>
      <c r="F35" s="104" t="s">
        <v>517</v>
      </c>
      <c r="H35" s="104" t="s">
        <v>410</v>
      </c>
      <c r="I35" s="104" t="s">
        <v>410</v>
      </c>
      <c r="K35" s="104">
        <v>9</v>
      </c>
      <c r="L35" s="104" t="s">
        <v>411</v>
      </c>
      <c r="M35" s="104">
        <v>0.35</v>
      </c>
      <c r="N35" s="104">
        <v>1.5</v>
      </c>
      <c r="S35" s="104">
        <v>100</v>
      </c>
      <c r="T35" s="104">
        <v>55</v>
      </c>
      <c r="U35" s="104">
        <v>50</v>
      </c>
      <c r="X35" s="104">
        <v>5</v>
      </c>
      <c r="Z35" s="104">
        <v>43173</v>
      </c>
      <c r="AA35" s="104" t="s">
        <v>518</v>
      </c>
      <c r="AB35" s="104" t="s">
        <v>35</v>
      </c>
      <c r="AN35" s="104">
        <v>10</v>
      </c>
      <c r="AO35" s="104">
        <v>12</v>
      </c>
    </row>
    <row r="36" spans="1:41" s="104" customFormat="1" ht="13.2" x14ac:dyDescent="0.25">
      <c r="A36" s="104" t="s">
        <v>523</v>
      </c>
      <c r="B36" s="104" t="s">
        <v>415</v>
      </c>
      <c r="C36" s="104" t="s">
        <v>416</v>
      </c>
      <c r="E36" s="104" t="s">
        <v>524</v>
      </c>
      <c r="F36" s="104" t="s">
        <v>517</v>
      </c>
      <c r="H36" s="104" t="s">
        <v>410</v>
      </c>
      <c r="I36" s="104" t="s">
        <v>410</v>
      </c>
      <c r="K36" s="104">
        <v>9</v>
      </c>
      <c r="L36" s="104" t="s">
        <v>411</v>
      </c>
      <c r="M36" s="104">
        <v>0.13</v>
      </c>
      <c r="N36" s="104">
        <v>1</v>
      </c>
      <c r="P36" s="104">
        <v>12</v>
      </c>
      <c r="Q36" s="104">
        <v>4.2000000000000003E-2</v>
      </c>
      <c r="R36" s="104">
        <v>8.3000000000000004E-2</v>
      </c>
      <c r="S36" s="104">
        <v>42</v>
      </c>
      <c r="T36" s="104">
        <v>42</v>
      </c>
      <c r="U36" s="104">
        <v>19</v>
      </c>
      <c r="X36" s="104">
        <v>5</v>
      </c>
      <c r="Z36" s="104">
        <v>43173</v>
      </c>
      <c r="AA36" s="104" t="s">
        <v>525</v>
      </c>
      <c r="AB36" s="104" t="s">
        <v>35</v>
      </c>
      <c r="AD36" s="104">
        <v>4</v>
      </c>
      <c r="AE36" s="104">
        <v>15</v>
      </c>
    </row>
    <row r="37" spans="1:41" s="104" customFormat="1" ht="13.2" x14ac:dyDescent="0.25">
      <c r="A37" s="104" t="s">
        <v>526</v>
      </c>
      <c r="B37" s="104" t="s">
        <v>415</v>
      </c>
      <c r="C37" s="104" t="s">
        <v>416</v>
      </c>
      <c r="E37" s="104" t="s">
        <v>527</v>
      </c>
      <c r="F37" s="104" t="s">
        <v>517</v>
      </c>
      <c r="H37" s="104" t="s">
        <v>410</v>
      </c>
      <c r="I37" s="104" t="s">
        <v>410</v>
      </c>
      <c r="K37" s="104">
        <v>9</v>
      </c>
      <c r="L37" s="104" t="s">
        <v>411</v>
      </c>
      <c r="M37" s="104">
        <v>0.24</v>
      </c>
      <c r="N37" s="104">
        <v>1</v>
      </c>
      <c r="P37" s="104">
        <v>12</v>
      </c>
      <c r="Q37" s="104">
        <v>4.2000000000000003E-2</v>
      </c>
      <c r="R37" s="104">
        <v>8.3000000000000004E-2</v>
      </c>
      <c r="S37" s="104">
        <v>58</v>
      </c>
      <c r="T37" s="104">
        <v>58</v>
      </c>
      <c r="U37" s="104">
        <v>25</v>
      </c>
      <c r="X37" s="104">
        <v>5</v>
      </c>
      <c r="Z37" s="104">
        <v>43173</v>
      </c>
      <c r="AA37" s="104" t="s">
        <v>525</v>
      </c>
      <c r="AB37" s="104" t="s">
        <v>35</v>
      </c>
      <c r="AD37" s="104">
        <v>7</v>
      </c>
      <c r="AE37" s="104">
        <v>50</v>
      </c>
    </row>
    <row r="38" spans="1:41" s="104" customFormat="1" ht="13.2" x14ac:dyDescent="0.25">
      <c r="A38" s="104" t="s">
        <v>528</v>
      </c>
      <c r="B38" s="104" t="s">
        <v>415</v>
      </c>
      <c r="C38" s="104" t="s">
        <v>416</v>
      </c>
      <c r="E38" s="104" t="s">
        <v>529</v>
      </c>
      <c r="F38" s="104" t="s">
        <v>517</v>
      </c>
      <c r="H38" s="104" t="s">
        <v>410</v>
      </c>
      <c r="I38" s="104" t="s">
        <v>410</v>
      </c>
      <c r="K38" s="104">
        <v>9</v>
      </c>
      <c r="L38" s="104" t="s">
        <v>411</v>
      </c>
      <c r="M38" s="104">
        <v>0.35</v>
      </c>
      <c r="N38" s="104">
        <v>1</v>
      </c>
      <c r="P38" s="104">
        <v>12</v>
      </c>
      <c r="Q38" s="104">
        <v>4.2000000000000003E-2</v>
      </c>
      <c r="R38" s="104">
        <v>8.3000000000000004E-2</v>
      </c>
      <c r="S38" s="104">
        <v>70</v>
      </c>
      <c r="T38" s="104">
        <v>70</v>
      </c>
      <c r="U38" s="104">
        <v>25</v>
      </c>
      <c r="X38" s="104">
        <v>5</v>
      </c>
      <c r="Z38" s="104">
        <v>43173</v>
      </c>
      <c r="AA38" s="104" t="s">
        <v>525</v>
      </c>
      <c r="AB38" s="104" t="s">
        <v>35</v>
      </c>
      <c r="AD38" s="104">
        <v>7</v>
      </c>
      <c r="AE38" s="104">
        <v>100</v>
      </c>
    </row>
    <row r="39" spans="1:41" s="104" customFormat="1" ht="13.2" x14ac:dyDescent="0.25">
      <c r="A39" s="104" t="s">
        <v>530</v>
      </c>
      <c r="B39" s="104" t="s">
        <v>415</v>
      </c>
      <c r="C39" s="104" t="s">
        <v>416</v>
      </c>
      <c r="E39" s="104" t="s">
        <v>531</v>
      </c>
      <c r="F39" s="104" t="s">
        <v>517</v>
      </c>
      <c r="H39" s="104" t="s">
        <v>410</v>
      </c>
      <c r="I39" s="104" t="s">
        <v>410</v>
      </c>
      <c r="K39" s="104">
        <v>9</v>
      </c>
      <c r="L39" s="104" t="s">
        <v>411</v>
      </c>
      <c r="M39" s="104">
        <v>0.75</v>
      </c>
      <c r="N39" s="104">
        <v>6</v>
      </c>
      <c r="P39" s="104">
        <v>28</v>
      </c>
      <c r="Q39" s="104">
        <v>4.2000000000000003E-2</v>
      </c>
      <c r="R39" s="104">
        <v>8.3000000000000004E-2</v>
      </c>
      <c r="S39" s="104">
        <v>110</v>
      </c>
      <c r="T39" s="104">
        <v>110</v>
      </c>
      <c r="U39" s="104">
        <v>38</v>
      </c>
      <c r="X39" s="104">
        <v>10</v>
      </c>
      <c r="Z39" s="104">
        <v>43173</v>
      </c>
      <c r="AA39" s="104" t="s">
        <v>525</v>
      </c>
      <c r="AB39" s="104" t="s">
        <v>35</v>
      </c>
      <c r="AD39" s="104">
        <v>25</v>
      </c>
      <c r="AE39" s="104">
        <v>500</v>
      </c>
    </row>
    <row r="40" spans="1:41" s="104" customFormat="1" ht="13.2" x14ac:dyDescent="0.25">
      <c r="A40" s="104" t="s">
        <v>532</v>
      </c>
      <c r="B40" s="104" t="s">
        <v>415</v>
      </c>
      <c r="C40" s="104" t="s">
        <v>416</v>
      </c>
      <c r="E40" s="104" t="s">
        <v>533</v>
      </c>
      <c r="F40" s="104" t="s">
        <v>517</v>
      </c>
      <c r="H40" s="104" t="s">
        <v>410</v>
      </c>
      <c r="I40" s="104" t="s">
        <v>410</v>
      </c>
      <c r="K40" s="104">
        <v>9</v>
      </c>
      <c r="L40" s="104" t="s">
        <v>411</v>
      </c>
      <c r="M40" s="104">
        <v>1.6</v>
      </c>
      <c r="N40" s="104">
        <v>7</v>
      </c>
      <c r="P40" s="104">
        <v>28</v>
      </c>
      <c r="Q40" s="104">
        <v>4.2000000000000003E-2</v>
      </c>
      <c r="R40" s="104">
        <v>8.3000000000000004E-2</v>
      </c>
      <c r="S40" s="104">
        <v>150</v>
      </c>
      <c r="T40" s="104">
        <v>150</v>
      </c>
      <c r="U40" s="104">
        <v>65</v>
      </c>
      <c r="X40" s="104">
        <v>10</v>
      </c>
      <c r="Z40" s="104">
        <v>43173</v>
      </c>
      <c r="AA40" s="104" t="s">
        <v>525</v>
      </c>
      <c r="AB40" s="104" t="s">
        <v>35</v>
      </c>
      <c r="AD40" s="104">
        <v>100</v>
      </c>
      <c r="AE40" s="104">
        <v>1500</v>
      </c>
    </row>
    <row r="41" spans="1:41" s="104" customFormat="1" ht="13.2" x14ac:dyDescent="0.25">
      <c r="A41" s="104" t="s">
        <v>534</v>
      </c>
      <c r="B41" s="104" t="s">
        <v>415</v>
      </c>
      <c r="C41" s="104" t="s">
        <v>416</v>
      </c>
      <c r="E41" s="104" t="s">
        <v>535</v>
      </c>
      <c r="F41" s="104" t="s">
        <v>517</v>
      </c>
      <c r="H41" s="104" t="s">
        <v>410</v>
      </c>
      <c r="I41" s="104" t="s">
        <v>410</v>
      </c>
      <c r="K41" s="104">
        <v>9</v>
      </c>
      <c r="L41" s="104" t="s">
        <v>411</v>
      </c>
      <c r="M41" s="104">
        <v>3</v>
      </c>
      <c r="N41" s="104">
        <v>8</v>
      </c>
      <c r="P41" s="104">
        <v>28</v>
      </c>
      <c r="Q41" s="104">
        <v>4.2000000000000003E-2</v>
      </c>
      <c r="R41" s="104">
        <v>8.3000000000000004E-2</v>
      </c>
      <c r="S41" s="104">
        <v>170</v>
      </c>
      <c r="T41" s="104">
        <v>170</v>
      </c>
      <c r="U41" s="104">
        <v>70</v>
      </c>
      <c r="X41" s="104">
        <v>10</v>
      </c>
      <c r="Z41" s="104">
        <v>43173</v>
      </c>
      <c r="AA41" s="104" t="s">
        <v>525</v>
      </c>
      <c r="AB41" s="104" t="s">
        <v>35</v>
      </c>
      <c r="AD41" s="104">
        <v>300</v>
      </c>
      <c r="AE41" s="104">
        <v>4000</v>
      </c>
    </row>
    <row r="42" spans="1:41" s="104" customFormat="1" ht="13.2" x14ac:dyDescent="0.25">
      <c r="A42" s="104" t="s">
        <v>536</v>
      </c>
      <c r="B42" s="104" t="s">
        <v>415</v>
      </c>
      <c r="C42" s="104" t="s">
        <v>416</v>
      </c>
      <c r="E42" s="104" t="s">
        <v>537</v>
      </c>
      <c r="F42" s="104" t="s">
        <v>517</v>
      </c>
      <c r="H42" s="104" t="s">
        <v>410</v>
      </c>
      <c r="I42" s="104" t="s">
        <v>410</v>
      </c>
      <c r="K42" s="104">
        <v>9</v>
      </c>
      <c r="L42" s="104" t="s">
        <v>411</v>
      </c>
      <c r="M42" s="104">
        <v>4.0999999999999996</v>
      </c>
      <c r="N42" s="104">
        <v>10</v>
      </c>
      <c r="P42" s="104">
        <v>28</v>
      </c>
      <c r="Q42" s="104">
        <v>4.2000000000000003E-2</v>
      </c>
      <c r="R42" s="104">
        <v>8.3000000000000004E-2</v>
      </c>
      <c r="S42" s="104">
        <v>190</v>
      </c>
      <c r="T42" s="104">
        <v>190</v>
      </c>
      <c r="U42" s="104">
        <v>90</v>
      </c>
      <c r="X42" s="104">
        <v>10</v>
      </c>
      <c r="Z42" s="104">
        <v>43173</v>
      </c>
      <c r="AA42" s="104" t="s">
        <v>525</v>
      </c>
      <c r="AB42" s="104" t="s">
        <v>35</v>
      </c>
      <c r="AD42" s="104">
        <v>300</v>
      </c>
      <c r="AE42" s="104">
        <v>8000</v>
      </c>
    </row>
    <row r="43" spans="1:41" s="104" customFormat="1" ht="13.2" x14ac:dyDescent="0.25">
      <c r="A43" s="104" t="s">
        <v>538</v>
      </c>
      <c r="B43" s="104" t="s">
        <v>424</v>
      </c>
      <c r="C43" s="104" t="s">
        <v>451</v>
      </c>
      <c r="E43" s="104" t="s">
        <v>539</v>
      </c>
      <c r="F43" s="104" t="s">
        <v>540</v>
      </c>
      <c r="H43" s="104" t="s">
        <v>410</v>
      </c>
      <c r="I43" s="104" t="s">
        <v>411</v>
      </c>
      <c r="L43" s="104" t="s">
        <v>411</v>
      </c>
      <c r="M43" s="104">
        <v>0.21</v>
      </c>
      <c r="N43" s="104">
        <v>1</v>
      </c>
      <c r="P43" s="104">
        <v>5</v>
      </c>
      <c r="Q43" s="104">
        <v>0.2</v>
      </c>
      <c r="S43" s="104">
        <v>56</v>
      </c>
      <c r="T43" s="104">
        <v>66</v>
      </c>
      <c r="U43" s="104">
        <v>94</v>
      </c>
      <c r="V43" s="104">
        <v>-30</v>
      </c>
      <c r="W43" s="104">
        <v>40</v>
      </c>
      <c r="X43" s="104">
        <v>7</v>
      </c>
      <c r="Z43" s="104">
        <v>43198</v>
      </c>
      <c r="AA43" s="104" t="s">
        <v>541</v>
      </c>
      <c r="AB43" s="104" t="s">
        <v>35</v>
      </c>
    </row>
    <row r="44" spans="1:41" s="104" customFormat="1" ht="13.2" x14ac:dyDescent="0.25">
      <c r="A44" s="104" t="s">
        <v>542</v>
      </c>
      <c r="B44" s="104" t="s">
        <v>424</v>
      </c>
      <c r="C44" s="104" t="s">
        <v>451</v>
      </c>
      <c r="E44" s="104" t="s">
        <v>543</v>
      </c>
      <c r="F44" s="104" t="s">
        <v>540</v>
      </c>
      <c r="H44" s="104" t="s">
        <v>411</v>
      </c>
      <c r="I44" s="104" t="s">
        <v>411</v>
      </c>
      <c r="J44" s="104" t="s">
        <v>544</v>
      </c>
      <c r="L44" s="104" t="s">
        <v>411</v>
      </c>
      <c r="M44" s="104">
        <v>3.2</v>
      </c>
      <c r="N44" s="104">
        <v>9.5</v>
      </c>
      <c r="P44" s="104" t="s">
        <v>545</v>
      </c>
      <c r="S44" s="104">
        <v>170</v>
      </c>
      <c r="T44" s="104">
        <v>146</v>
      </c>
      <c r="U44" s="104">
        <f>103+283</f>
        <v>386</v>
      </c>
      <c r="V44" s="104">
        <v>-30</v>
      </c>
      <c r="W44" s="104">
        <v>60</v>
      </c>
      <c r="X44" s="104">
        <v>18</v>
      </c>
      <c r="Z44" s="104">
        <v>43198</v>
      </c>
      <c r="AA44" s="104" t="s">
        <v>546</v>
      </c>
      <c r="AB44" s="104" t="s">
        <v>35</v>
      </c>
    </row>
    <row r="45" spans="1:41" s="104" customFormat="1" ht="13.2" x14ac:dyDescent="0.25">
      <c r="A45" s="104" t="s">
        <v>547</v>
      </c>
      <c r="B45" s="104" t="s">
        <v>424</v>
      </c>
      <c r="C45" s="104" t="s">
        <v>451</v>
      </c>
      <c r="E45" s="104" t="s">
        <v>548</v>
      </c>
      <c r="F45" s="104" t="s">
        <v>540</v>
      </c>
      <c r="H45" s="104" t="s">
        <v>411</v>
      </c>
      <c r="I45" s="104" t="s">
        <v>411</v>
      </c>
      <c r="J45" s="104" t="s">
        <v>544</v>
      </c>
      <c r="L45" s="104" t="s">
        <v>411</v>
      </c>
      <c r="M45" s="104">
        <v>2.75</v>
      </c>
      <c r="N45" s="104">
        <v>7</v>
      </c>
      <c r="P45" s="104" t="s">
        <v>545</v>
      </c>
      <c r="S45" s="104">
        <v>171</v>
      </c>
      <c r="T45" s="104">
        <v>156</v>
      </c>
      <c r="U45" s="104">
        <f>65+283</f>
        <v>348</v>
      </c>
      <c r="V45" s="104">
        <v>-30</v>
      </c>
      <c r="W45" s="104">
        <v>50</v>
      </c>
      <c r="X45" s="104">
        <v>18</v>
      </c>
      <c r="Z45" s="104">
        <v>43198</v>
      </c>
      <c r="AA45" s="104" t="s">
        <v>549</v>
      </c>
      <c r="AB45" s="104" t="s">
        <v>35</v>
      </c>
    </row>
    <row r="46" spans="1:41" s="104" customFormat="1" ht="13.2" x14ac:dyDescent="0.25">
      <c r="A46" s="104" t="s">
        <v>550</v>
      </c>
      <c r="B46" s="104" t="s">
        <v>424</v>
      </c>
      <c r="C46" s="104" t="s">
        <v>451</v>
      </c>
      <c r="E46" s="104" t="s">
        <v>551</v>
      </c>
      <c r="F46" s="104" t="s">
        <v>540</v>
      </c>
      <c r="H46" s="104" t="s">
        <v>411</v>
      </c>
      <c r="I46" s="104" t="s">
        <v>411</v>
      </c>
      <c r="J46" s="104" t="s">
        <v>544</v>
      </c>
      <c r="L46" s="104" t="s">
        <v>411</v>
      </c>
      <c r="M46" s="104">
        <v>5.3</v>
      </c>
      <c r="N46" s="104">
        <v>8</v>
      </c>
      <c r="P46" s="104" t="s">
        <v>545</v>
      </c>
      <c r="S46" s="104">
        <v>194</v>
      </c>
      <c r="T46" s="104">
        <v>166</v>
      </c>
      <c r="U46" s="104">
        <f>283+159</f>
        <v>442</v>
      </c>
      <c r="V46" s="104">
        <v>-30</v>
      </c>
      <c r="W46" s="104">
        <v>60</v>
      </c>
      <c r="X46" s="104">
        <v>18</v>
      </c>
      <c r="Z46" s="104">
        <v>43198</v>
      </c>
      <c r="AA46" s="104" t="s">
        <v>552</v>
      </c>
      <c r="AB46" s="104" t="s">
        <v>35</v>
      </c>
    </row>
    <row r="47" spans="1:41" s="104" customFormat="1" ht="13.2" x14ac:dyDescent="0.25">
      <c r="A47" s="104" t="s">
        <v>553</v>
      </c>
      <c r="B47" s="104" t="s">
        <v>415</v>
      </c>
      <c r="C47" s="104" t="s">
        <v>416</v>
      </c>
      <c r="E47" s="104" t="s">
        <v>554</v>
      </c>
      <c r="F47" s="104" t="s">
        <v>555</v>
      </c>
      <c r="H47" s="104" t="s">
        <v>410</v>
      </c>
      <c r="I47" s="104" t="s">
        <v>410</v>
      </c>
      <c r="K47" s="104">
        <v>9</v>
      </c>
      <c r="L47" s="104" t="s">
        <v>411</v>
      </c>
      <c r="M47" s="104">
        <v>0.06</v>
      </c>
      <c r="N47" s="104">
        <v>0.65</v>
      </c>
      <c r="O47" s="104">
        <v>4500</v>
      </c>
      <c r="P47" s="104" t="s">
        <v>556</v>
      </c>
      <c r="S47" s="104">
        <v>28</v>
      </c>
      <c r="T47" s="104">
        <v>28</v>
      </c>
      <c r="U47" s="104">
        <v>26.2</v>
      </c>
      <c r="V47" s="104">
        <v>-10</v>
      </c>
      <c r="W47" s="104">
        <v>70</v>
      </c>
      <c r="Z47" s="104">
        <v>43210</v>
      </c>
      <c r="AA47" s="104" t="s">
        <v>557</v>
      </c>
      <c r="AB47" s="104" t="s">
        <v>558</v>
      </c>
      <c r="AC47" s="104">
        <v>8000</v>
      </c>
      <c r="AD47" s="104">
        <v>0.23</v>
      </c>
      <c r="AE47" s="104">
        <v>1.77</v>
      </c>
    </row>
    <row r="48" spans="1:41" s="104" customFormat="1" ht="13.2" x14ac:dyDescent="0.25">
      <c r="A48" s="104" t="s">
        <v>559</v>
      </c>
      <c r="B48" s="104" t="s">
        <v>415</v>
      </c>
      <c r="C48" s="104" t="s">
        <v>416</v>
      </c>
      <c r="E48" s="104" t="s">
        <v>554</v>
      </c>
      <c r="F48" s="104" t="s">
        <v>555</v>
      </c>
      <c r="H48" s="104" t="s">
        <v>410</v>
      </c>
      <c r="I48" s="104" t="s">
        <v>410</v>
      </c>
      <c r="K48" s="104">
        <v>9</v>
      </c>
      <c r="L48" s="104" t="s">
        <v>411</v>
      </c>
      <c r="M48" s="104">
        <v>0.15</v>
      </c>
      <c r="N48" s="104">
        <v>2.2999999999999998</v>
      </c>
      <c r="O48" s="104">
        <v>6500</v>
      </c>
      <c r="P48" s="104" t="s">
        <v>556</v>
      </c>
      <c r="S48" s="104">
        <v>46</v>
      </c>
      <c r="T48" s="104">
        <v>46</v>
      </c>
      <c r="U48" s="104">
        <v>31.5</v>
      </c>
      <c r="V48" s="104">
        <v>-10</v>
      </c>
      <c r="W48" s="104">
        <v>70</v>
      </c>
      <c r="Z48" s="104">
        <v>43210</v>
      </c>
      <c r="AA48" s="104" t="s">
        <v>557</v>
      </c>
      <c r="AB48" s="104" t="s">
        <v>558</v>
      </c>
      <c r="AC48" s="104">
        <v>6000</v>
      </c>
      <c r="AD48" s="104">
        <v>1</v>
      </c>
      <c r="AE48" s="104">
        <v>10.82</v>
      </c>
    </row>
    <row r="49" spans="1:46" s="104" customFormat="1" ht="13.2" x14ac:dyDescent="0.25">
      <c r="A49" s="104" t="s">
        <v>560</v>
      </c>
      <c r="B49" s="104" t="s">
        <v>415</v>
      </c>
      <c r="C49" s="104" t="s">
        <v>416</v>
      </c>
      <c r="E49" s="104" t="s">
        <v>554</v>
      </c>
      <c r="F49" s="104" t="s">
        <v>555</v>
      </c>
      <c r="H49" s="104" t="s">
        <v>410</v>
      </c>
      <c r="I49" s="104" t="s">
        <v>410</v>
      </c>
      <c r="K49" s="104">
        <v>9</v>
      </c>
      <c r="L49" s="104" t="s">
        <v>411</v>
      </c>
      <c r="M49" s="104">
        <v>0.22500000000000001</v>
      </c>
      <c r="N49" s="104">
        <v>4.5</v>
      </c>
      <c r="O49" s="104">
        <v>7500</v>
      </c>
      <c r="P49" s="104" t="s">
        <v>556</v>
      </c>
      <c r="S49" s="104">
        <v>57</v>
      </c>
      <c r="T49" s="104">
        <v>57</v>
      </c>
      <c r="U49" s="104">
        <v>31.5</v>
      </c>
      <c r="V49" s="104">
        <v>-10</v>
      </c>
      <c r="W49" s="104">
        <v>70</v>
      </c>
      <c r="Z49" s="104">
        <v>43210</v>
      </c>
      <c r="AA49" s="104" t="s">
        <v>557</v>
      </c>
      <c r="AB49" s="104" t="s">
        <v>558</v>
      </c>
      <c r="AC49" s="104">
        <v>6000</v>
      </c>
      <c r="AD49" s="104">
        <v>2.2999999999999998</v>
      </c>
      <c r="AE49" s="104">
        <v>30.61</v>
      </c>
    </row>
    <row r="50" spans="1:46" s="104" customFormat="1" ht="13.2" x14ac:dyDescent="0.25">
      <c r="A50" s="104" t="s">
        <v>561</v>
      </c>
      <c r="B50" s="104" t="s">
        <v>415</v>
      </c>
      <c r="C50" s="104" t="s">
        <v>419</v>
      </c>
      <c r="E50" s="104" t="s">
        <v>562</v>
      </c>
      <c r="F50" s="104" t="s">
        <v>555</v>
      </c>
      <c r="H50" s="104" t="s">
        <v>410</v>
      </c>
      <c r="I50" s="104" t="s">
        <v>410</v>
      </c>
      <c r="K50" s="104">
        <v>9</v>
      </c>
      <c r="L50" s="104" t="s">
        <v>431</v>
      </c>
      <c r="M50" s="104">
        <v>2.8000000000000001E-2</v>
      </c>
      <c r="N50" s="104">
        <v>0.20832999999999999</v>
      </c>
      <c r="O50" s="104">
        <v>700</v>
      </c>
      <c r="P50" s="104">
        <v>2.5</v>
      </c>
      <c r="S50" s="104">
        <v>60.87</v>
      </c>
      <c r="T50" s="104">
        <v>18</v>
      </c>
      <c r="U50" s="104">
        <v>13.5</v>
      </c>
      <c r="Z50" s="104">
        <v>43210</v>
      </c>
      <c r="AA50" s="104" t="s">
        <v>563</v>
      </c>
      <c r="AG50" s="104">
        <v>31</v>
      </c>
      <c r="AI50" s="104">
        <v>0.24</v>
      </c>
    </row>
    <row r="51" spans="1:46" s="104" customFormat="1" ht="13.2" x14ac:dyDescent="0.25">
      <c r="A51" s="104" t="s">
        <v>564</v>
      </c>
      <c r="B51" s="104" t="s">
        <v>415</v>
      </c>
      <c r="C51" s="104" t="s">
        <v>419</v>
      </c>
      <c r="E51" s="104" t="s">
        <v>565</v>
      </c>
      <c r="F51" s="104" t="s">
        <v>555</v>
      </c>
      <c r="H51" s="104" t="s">
        <v>410</v>
      </c>
      <c r="I51" s="104" t="s">
        <v>410</v>
      </c>
      <c r="K51" s="104">
        <v>9</v>
      </c>
      <c r="L51" s="104" t="s">
        <v>431</v>
      </c>
      <c r="M51" s="104">
        <v>4.5999999999999999E-2</v>
      </c>
      <c r="N51" s="104">
        <v>0.3125</v>
      </c>
      <c r="O51" s="104">
        <v>700</v>
      </c>
      <c r="P51" s="104">
        <v>5</v>
      </c>
      <c r="S51" s="104">
        <v>90.1</v>
      </c>
      <c r="T51" s="104">
        <v>95.9</v>
      </c>
      <c r="U51" s="104">
        <v>8</v>
      </c>
      <c r="Z51" s="104">
        <v>43210</v>
      </c>
      <c r="AA51" s="104" t="s">
        <v>563</v>
      </c>
      <c r="AG51" s="104">
        <v>83</v>
      </c>
      <c r="AI51" s="104">
        <v>0.13</v>
      </c>
    </row>
    <row r="52" spans="1:46" s="104" customFormat="1" ht="13.2" x14ac:dyDescent="0.25">
      <c r="A52" s="104" t="s">
        <v>566</v>
      </c>
      <c r="B52" s="104" t="s">
        <v>424</v>
      </c>
      <c r="C52" s="104" t="s">
        <v>451</v>
      </c>
      <c r="E52" s="104" t="s">
        <v>567</v>
      </c>
      <c r="F52" s="104" t="s">
        <v>555</v>
      </c>
      <c r="H52" s="104" t="s">
        <v>410</v>
      </c>
      <c r="I52" s="104" t="s">
        <v>410</v>
      </c>
      <c r="K52" s="104" t="s">
        <v>35</v>
      </c>
      <c r="L52" s="104" t="s">
        <v>431</v>
      </c>
      <c r="M52" s="104">
        <v>5.5E-2</v>
      </c>
      <c r="N52" s="104">
        <v>0.26400000000000001</v>
      </c>
      <c r="O52" s="104">
        <v>15000</v>
      </c>
      <c r="P52" s="104">
        <v>3.3</v>
      </c>
      <c r="Q52" s="104">
        <v>4.2999999999999997E-2</v>
      </c>
      <c r="R52" s="104">
        <v>0.08</v>
      </c>
      <c r="S52" s="104">
        <v>50</v>
      </c>
      <c r="T52" s="104">
        <v>35</v>
      </c>
      <c r="U52" s="104">
        <v>55</v>
      </c>
      <c r="V52" s="104">
        <v>-10</v>
      </c>
      <c r="W52" s="104">
        <v>60</v>
      </c>
      <c r="Z52" s="104">
        <v>43219</v>
      </c>
      <c r="AM52" s="104">
        <v>0.01</v>
      </c>
      <c r="AN52" s="104">
        <v>45</v>
      </c>
      <c r="AO52" s="104">
        <v>45</v>
      </c>
    </row>
    <row r="53" spans="1:46" s="104" customFormat="1" ht="13.2" x14ac:dyDescent="0.25">
      <c r="A53" s="104" t="s">
        <v>568</v>
      </c>
      <c r="B53" s="104" t="s">
        <v>424</v>
      </c>
      <c r="C53" s="104" t="s">
        <v>442</v>
      </c>
      <c r="E53" s="104" t="s">
        <v>443</v>
      </c>
      <c r="F53" s="104" t="s">
        <v>555</v>
      </c>
      <c r="H53" s="104" t="s">
        <v>410</v>
      </c>
      <c r="I53" s="104" t="s">
        <v>410</v>
      </c>
      <c r="K53" s="104">
        <v>9</v>
      </c>
      <c r="L53" s="104" t="s">
        <v>410</v>
      </c>
      <c r="M53" s="104">
        <v>0.08</v>
      </c>
      <c r="N53" s="104">
        <v>0.36</v>
      </c>
      <c r="O53" s="104">
        <v>4800</v>
      </c>
      <c r="P53" s="104">
        <v>3.3</v>
      </c>
      <c r="Q53" s="104">
        <v>4.4999999999999998E-2</v>
      </c>
      <c r="R53" s="104">
        <v>0.11</v>
      </c>
      <c r="S53" s="104">
        <v>90</v>
      </c>
      <c r="T53" s="104">
        <v>96</v>
      </c>
      <c r="U53" s="104">
        <v>30</v>
      </c>
      <c r="V53" s="104">
        <v>-10</v>
      </c>
      <c r="W53" s="104">
        <v>70</v>
      </c>
      <c r="Z53" s="104">
        <v>43219</v>
      </c>
      <c r="AA53" s="104" t="s">
        <v>569</v>
      </c>
      <c r="AM53" s="104">
        <v>0.2</v>
      </c>
      <c r="AN53" s="104">
        <v>180</v>
      </c>
      <c r="AO53" s="104">
        <v>180</v>
      </c>
    </row>
    <row r="54" spans="1:46" s="104" customFormat="1" ht="13.2" x14ac:dyDescent="0.25">
      <c r="A54" s="104" t="s">
        <v>570</v>
      </c>
      <c r="B54" s="104" t="s">
        <v>424</v>
      </c>
      <c r="C54" s="104" t="s">
        <v>429</v>
      </c>
      <c r="E54" s="104" t="s">
        <v>443</v>
      </c>
      <c r="F54" s="104" t="s">
        <v>555</v>
      </c>
      <c r="H54" s="104" t="s">
        <v>410</v>
      </c>
      <c r="I54" s="104" t="s">
        <v>410</v>
      </c>
      <c r="K54" s="104">
        <v>9</v>
      </c>
      <c r="L54" s="104" t="s">
        <v>410</v>
      </c>
      <c r="M54" s="104">
        <v>0.08</v>
      </c>
      <c r="N54" s="104">
        <v>0.36</v>
      </c>
      <c r="O54" s="104">
        <v>34000</v>
      </c>
      <c r="P54" s="104">
        <v>3.3</v>
      </c>
      <c r="Q54" s="104">
        <v>4.4999999999999998E-2</v>
      </c>
      <c r="R54" s="104">
        <v>0.11</v>
      </c>
      <c r="S54" s="104">
        <v>90</v>
      </c>
      <c r="T54" s="104">
        <v>96</v>
      </c>
      <c r="U54" s="104">
        <v>30</v>
      </c>
      <c r="V54" s="104">
        <v>-10</v>
      </c>
      <c r="W54" s="104">
        <v>70</v>
      </c>
      <c r="Z54" s="104">
        <v>43219</v>
      </c>
      <c r="AA54" s="104" t="s">
        <v>569</v>
      </c>
      <c r="AM54" s="104">
        <v>0.2</v>
      </c>
      <c r="AN54" s="104">
        <v>180</v>
      </c>
      <c r="AO54" s="104">
        <v>180</v>
      </c>
    </row>
    <row r="55" spans="1:46" s="104" customFormat="1" ht="13.2" x14ac:dyDescent="0.25">
      <c r="A55" s="104" t="s">
        <v>571</v>
      </c>
      <c r="B55" s="104" t="s">
        <v>407</v>
      </c>
      <c r="C55" s="104" t="s">
        <v>407</v>
      </c>
      <c r="E55" s="104" t="s">
        <v>572</v>
      </c>
      <c r="F55" s="104" t="s">
        <v>555</v>
      </c>
      <c r="H55" s="104" t="s">
        <v>410</v>
      </c>
      <c r="I55" s="104" t="s">
        <v>410</v>
      </c>
      <c r="K55" s="104">
        <v>9</v>
      </c>
      <c r="L55" s="104" t="s">
        <v>497</v>
      </c>
      <c r="M55" s="104">
        <v>0.61699999999999999</v>
      </c>
      <c r="N55" s="104">
        <v>0.85</v>
      </c>
      <c r="O55" s="104">
        <v>4800</v>
      </c>
      <c r="P55" s="104" t="s">
        <v>573</v>
      </c>
      <c r="S55" s="104">
        <v>90</v>
      </c>
      <c r="T55" s="104">
        <v>96</v>
      </c>
      <c r="U55" s="104">
        <v>75</v>
      </c>
      <c r="V55" s="104">
        <v>-10</v>
      </c>
      <c r="W55" s="104">
        <v>70</v>
      </c>
      <c r="Z55" s="104">
        <v>43210</v>
      </c>
      <c r="AA55" s="104" t="s">
        <v>574</v>
      </c>
      <c r="AB55" s="104" t="s">
        <v>558</v>
      </c>
      <c r="AF55" s="104">
        <v>3</v>
      </c>
    </row>
    <row r="56" spans="1:46" s="104" customFormat="1" ht="13.2" x14ac:dyDescent="0.25">
      <c r="A56" s="104" t="s">
        <v>575</v>
      </c>
      <c r="B56" s="104" t="s">
        <v>407</v>
      </c>
      <c r="C56" s="104" t="s">
        <v>407</v>
      </c>
      <c r="E56" s="104" t="s">
        <v>576</v>
      </c>
      <c r="F56" s="104" t="s">
        <v>555</v>
      </c>
      <c r="H56" s="104" t="s">
        <v>410</v>
      </c>
      <c r="I56" s="104" t="s">
        <v>410</v>
      </c>
      <c r="K56" s="104">
        <v>9</v>
      </c>
      <c r="L56" s="104" t="s">
        <v>497</v>
      </c>
      <c r="M56" s="104">
        <v>0.20300000000000001</v>
      </c>
      <c r="N56" s="104">
        <v>0.45</v>
      </c>
      <c r="O56" s="104">
        <v>16000</v>
      </c>
      <c r="P56" s="104" t="s">
        <v>577</v>
      </c>
      <c r="S56" s="104">
        <v>90</v>
      </c>
      <c r="T56" s="104">
        <v>96</v>
      </c>
      <c r="U56" s="104">
        <v>31</v>
      </c>
      <c r="Z56" s="104">
        <v>43210</v>
      </c>
      <c r="AA56" s="104" t="s">
        <v>578</v>
      </c>
      <c r="AF56" s="104" t="s">
        <v>579</v>
      </c>
      <c r="AM56" s="104">
        <v>3</v>
      </c>
      <c r="AT56" s="104">
        <v>0.3</v>
      </c>
    </row>
    <row r="57" spans="1:46" s="104" customFormat="1" ht="13.2" x14ac:dyDescent="0.25">
      <c r="A57" s="104" t="s">
        <v>580</v>
      </c>
      <c r="B57" s="104" t="s">
        <v>407</v>
      </c>
      <c r="C57" s="104" t="s">
        <v>407</v>
      </c>
      <c r="E57" s="104" t="s">
        <v>581</v>
      </c>
      <c r="F57" s="104" t="s">
        <v>555</v>
      </c>
      <c r="H57" s="104" t="s">
        <v>410</v>
      </c>
      <c r="I57" s="104" t="s">
        <v>410</v>
      </c>
      <c r="K57" s="104">
        <v>9</v>
      </c>
      <c r="L57" s="104" t="s">
        <v>410</v>
      </c>
      <c r="M57" s="104">
        <v>0.36699999999999999</v>
      </c>
      <c r="N57" s="104">
        <v>0.67500000000000004</v>
      </c>
      <c r="O57" s="104">
        <v>22000</v>
      </c>
      <c r="P57" s="104" t="s">
        <v>573</v>
      </c>
      <c r="S57" s="104">
        <v>90</v>
      </c>
      <c r="T57" s="104">
        <v>96</v>
      </c>
      <c r="U57" s="104">
        <v>58</v>
      </c>
      <c r="V57" s="104">
        <v>-10</v>
      </c>
      <c r="W57" s="104">
        <v>70</v>
      </c>
      <c r="Z57" s="104">
        <v>43219</v>
      </c>
      <c r="AA57" s="104" t="s">
        <v>582</v>
      </c>
      <c r="AF57" s="104">
        <v>3</v>
      </c>
      <c r="AM57" s="104">
        <v>1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6">
    <tabColor theme="5" tint="0.39997558519241921"/>
  </sheetPr>
  <dimension ref="B1:U18"/>
  <sheetViews>
    <sheetView zoomScaleNormal="100" workbookViewId="0">
      <pane ySplit="6" topLeftCell="A7" activePane="bottomLeft" state="frozen"/>
      <selection pane="bottomLeft" activeCell="M28" sqref="M28"/>
    </sheetView>
  </sheetViews>
  <sheetFormatPr defaultColWidth="9" defaultRowHeight="18" customHeight="1" x14ac:dyDescent="0.4"/>
  <cols>
    <col min="1" max="16384" width="9" style="4"/>
  </cols>
  <sheetData>
    <row r="1" spans="2:21" ht="15" customHeight="1" x14ac:dyDescent="0.4"/>
    <row r="2" spans="2:21" ht="15" customHeight="1" x14ac:dyDescent="0.4">
      <c r="B2" s="59"/>
      <c r="C2" s="420" t="s">
        <v>53</v>
      </c>
      <c r="D2" s="420"/>
      <c r="E2" s="420"/>
      <c r="F2" s="420"/>
      <c r="G2" s="420"/>
      <c r="H2" s="420"/>
      <c r="I2" s="420"/>
      <c r="J2" s="420"/>
      <c r="K2" s="420"/>
      <c r="L2" s="420"/>
      <c r="M2" s="68"/>
      <c r="N2" s="68"/>
      <c r="O2" s="68"/>
      <c r="P2" s="59"/>
      <c r="Q2" s="59"/>
      <c r="R2" s="59"/>
      <c r="S2" s="59"/>
      <c r="T2" s="59"/>
      <c r="U2" s="59"/>
    </row>
    <row r="3" spans="2:21" ht="15" customHeight="1" x14ac:dyDescent="0.4">
      <c r="B3" s="59"/>
      <c r="C3" s="420"/>
      <c r="D3" s="420"/>
      <c r="E3" s="420"/>
      <c r="F3" s="420"/>
      <c r="G3" s="420"/>
      <c r="H3" s="420"/>
      <c r="I3" s="420"/>
      <c r="J3" s="420"/>
      <c r="K3" s="420"/>
      <c r="L3" s="420"/>
      <c r="M3" s="59"/>
      <c r="N3" s="59"/>
      <c r="O3" s="59"/>
      <c r="P3" s="59"/>
      <c r="Q3" s="66"/>
      <c r="R3" s="59"/>
      <c r="S3" s="59"/>
      <c r="T3" s="59"/>
      <c r="U3" s="59"/>
    </row>
    <row r="4" spans="2:21" ht="15" customHeight="1" x14ac:dyDescent="0.4">
      <c r="B4" s="59"/>
      <c r="C4" s="421" t="s">
        <v>249</v>
      </c>
      <c r="D4" s="421"/>
      <c r="E4" s="421"/>
      <c r="F4" s="421"/>
      <c r="G4" s="421"/>
      <c r="H4" s="421"/>
      <c r="I4" s="421"/>
      <c r="J4" s="421"/>
      <c r="K4" s="421"/>
      <c r="L4" s="421"/>
      <c r="M4" s="59"/>
      <c r="N4" s="59"/>
      <c r="O4" s="59"/>
      <c r="P4" s="59"/>
      <c r="Q4" s="66"/>
      <c r="R4" s="59"/>
      <c r="S4" s="59"/>
      <c r="T4" s="59"/>
      <c r="U4" s="59"/>
    </row>
    <row r="5" spans="2:21" ht="15" customHeight="1" x14ac:dyDescent="0.4">
      <c r="B5" s="59"/>
      <c r="C5" s="421"/>
      <c r="D5" s="421"/>
      <c r="E5" s="421"/>
      <c r="F5" s="421"/>
      <c r="G5" s="421"/>
      <c r="H5" s="421"/>
      <c r="I5" s="421"/>
      <c r="J5" s="421"/>
      <c r="K5" s="421"/>
      <c r="L5" s="421"/>
      <c r="M5" s="59"/>
      <c r="N5" s="59"/>
      <c r="O5" s="59"/>
      <c r="P5" s="59"/>
      <c r="Q5" s="67"/>
      <c r="R5" s="59"/>
      <c r="S5" s="59"/>
      <c r="T5" s="59"/>
      <c r="U5" s="59"/>
    </row>
    <row r="6" spans="2:21" ht="15" customHeight="1" thickBot="1" x14ac:dyDescent="0.45">
      <c r="B6" s="59"/>
      <c r="C6" s="422"/>
      <c r="D6" s="422"/>
      <c r="E6" s="422"/>
      <c r="F6" s="422"/>
      <c r="G6" s="422"/>
      <c r="H6" s="422"/>
      <c r="I6" s="422"/>
      <c r="J6" s="422"/>
      <c r="K6" s="422"/>
      <c r="L6" s="422"/>
      <c r="M6" s="69"/>
      <c r="N6" s="69"/>
      <c r="O6" s="69"/>
      <c r="P6" s="69"/>
      <c r="Q6" s="72"/>
      <c r="R6" s="69"/>
      <c r="S6" s="69"/>
      <c r="T6" s="69"/>
      <c r="U6" s="59"/>
    </row>
    <row r="7" spans="2:21" ht="18" customHeight="1" thickTop="1" x14ac:dyDescent="0.4"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16"/>
      <c r="R7" s="16"/>
      <c r="S7" s="16"/>
      <c r="T7" s="16"/>
      <c r="U7" s="16"/>
    </row>
    <row r="8" spans="2:21" ht="18" customHeight="1" x14ac:dyDescent="0.4">
      <c r="B8" s="59"/>
      <c r="C8" s="423" t="s">
        <v>282</v>
      </c>
      <c r="D8" s="423"/>
      <c r="E8" s="80" t="s">
        <v>202</v>
      </c>
      <c r="F8" s="80" t="s">
        <v>271</v>
      </c>
      <c r="G8" s="80" t="s">
        <v>191</v>
      </c>
      <c r="H8" s="80" t="s">
        <v>192</v>
      </c>
      <c r="I8" s="80" t="s">
        <v>292</v>
      </c>
      <c r="J8" s="70" t="s">
        <v>294</v>
      </c>
      <c r="K8" s="70" t="s">
        <v>293</v>
      </c>
      <c r="L8" s="80" t="s">
        <v>272</v>
      </c>
      <c r="M8" s="80" t="s">
        <v>273</v>
      </c>
      <c r="N8" s="80" t="s">
        <v>274</v>
      </c>
      <c r="O8" s="80" t="s">
        <v>275</v>
      </c>
      <c r="P8" s="80" t="s">
        <v>276</v>
      </c>
      <c r="Q8" s="80"/>
      <c r="R8" s="80"/>
      <c r="S8" s="80"/>
      <c r="T8" s="80"/>
      <c r="U8" s="16"/>
    </row>
    <row r="9" spans="2:21" ht="18" customHeight="1" x14ac:dyDescent="0.4">
      <c r="B9" s="59"/>
      <c r="C9" s="424" t="s">
        <v>35</v>
      </c>
      <c r="D9" s="424"/>
      <c r="E9" s="81" t="s">
        <v>35</v>
      </c>
      <c r="F9" s="81" t="s">
        <v>35</v>
      </c>
      <c r="G9" s="81" t="s">
        <v>172</v>
      </c>
      <c r="H9" s="81" t="s">
        <v>41</v>
      </c>
      <c r="I9" s="81" t="s">
        <v>35</v>
      </c>
      <c r="J9" s="81" t="s">
        <v>172</v>
      </c>
      <c r="K9" s="81" t="s">
        <v>41</v>
      </c>
      <c r="L9" s="81" t="s">
        <v>184</v>
      </c>
      <c r="M9" s="81" t="s">
        <v>184</v>
      </c>
      <c r="N9" s="81" t="s">
        <v>281</v>
      </c>
      <c r="O9" s="81" t="s">
        <v>281</v>
      </c>
      <c r="P9" s="81" t="s">
        <v>281</v>
      </c>
      <c r="Q9" s="81"/>
      <c r="R9" s="81"/>
      <c r="S9" s="81"/>
      <c r="T9" s="81"/>
      <c r="U9" s="16"/>
    </row>
    <row r="10" spans="2:21" ht="18" customHeight="1" x14ac:dyDescent="0.4">
      <c r="B10" s="59"/>
      <c r="C10" s="416" t="s">
        <v>286</v>
      </c>
      <c r="D10" s="415"/>
      <c r="E10" s="425" t="str">
        <f>_xlfn.CONCAT(E12," (from: ",F12,")")</f>
        <v>hola (from: pepe)</v>
      </c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7"/>
      <c r="Q10" s="79" t="s">
        <v>277</v>
      </c>
      <c r="R10" s="79" t="s">
        <v>278</v>
      </c>
      <c r="S10" s="79" t="s">
        <v>279</v>
      </c>
      <c r="T10" s="79" t="s">
        <v>280</v>
      </c>
      <c r="U10" s="16"/>
    </row>
    <row r="11" spans="2:21" ht="18" customHeight="1" x14ac:dyDescent="0.4">
      <c r="B11" s="59"/>
      <c r="C11" s="415"/>
      <c r="D11" s="415"/>
      <c r="E11" s="350"/>
      <c r="F11" s="351"/>
      <c r="G11" s="351"/>
      <c r="H11" s="351"/>
      <c r="I11" s="351"/>
      <c r="J11" s="351"/>
      <c r="K11" s="351"/>
      <c r="L11" s="351"/>
      <c r="M11" s="351"/>
      <c r="N11" s="351"/>
      <c r="O11" s="351"/>
      <c r="P11" s="352"/>
      <c r="Q11" s="61" t="s">
        <v>288</v>
      </c>
      <c r="R11" s="61" t="s">
        <v>289</v>
      </c>
      <c r="S11" s="61" t="s">
        <v>290</v>
      </c>
      <c r="T11" s="61" t="s">
        <v>291</v>
      </c>
      <c r="U11" s="16"/>
    </row>
    <row r="12" spans="2:21" ht="18" customHeight="1" x14ac:dyDescent="0.4">
      <c r="B12" s="59"/>
      <c r="C12" s="415"/>
      <c r="D12" s="415"/>
      <c r="E12" s="75" t="s">
        <v>304</v>
      </c>
      <c r="F12" s="75" t="s">
        <v>305</v>
      </c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16"/>
    </row>
    <row r="13" spans="2:21" ht="18" customHeight="1" x14ac:dyDescent="0.4">
      <c r="B13" s="59"/>
      <c r="C13" s="416" t="s">
        <v>287</v>
      </c>
      <c r="D13" s="415"/>
      <c r="E13" s="417" t="str">
        <f>_xlfn.CONCAT(E15," (from: ",F15,")")</f>
        <v xml:space="preserve"> (from: )</v>
      </c>
      <c r="F13" s="418"/>
      <c r="G13" s="418"/>
      <c r="H13" s="418"/>
      <c r="I13" s="418"/>
      <c r="J13" s="418"/>
      <c r="K13" s="418"/>
      <c r="L13" s="418"/>
      <c r="M13" s="418"/>
      <c r="N13" s="418"/>
      <c r="O13" s="418"/>
      <c r="P13" s="419"/>
      <c r="Q13" s="79" t="s">
        <v>277</v>
      </c>
      <c r="R13" s="79" t="s">
        <v>278</v>
      </c>
      <c r="S13" s="79" t="s">
        <v>279</v>
      </c>
      <c r="T13" s="79" t="s">
        <v>280</v>
      </c>
      <c r="U13" s="16"/>
    </row>
    <row r="14" spans="2:21" ht="18" customHeight="1" x14ac:dyDescent="0.4">
      <c r="B14" s="59"/>
      <c r="C14" s="415"/>
      <c r="D14" s="415"/>
      <c r="E14" s="350"/>
      <c r="F14" s="351"/>
      <c r="G14" s="351"/>
      <c r="H14" s="351"/>
      <c r="I14" s="351"/>
      <c r="J14" s="351"/>
      <c r="K14" s="351"/>
      <c r="L14" s="351"/>
      <c r="M14" s="351"/>
      <c r="N14" s="351"/>
      <c r="O14" s="351"/>
      <c r="P14" s="352"/>
      <c r="Q14" s="61" t="s">
        <v>288</v>
      </c>
      <c r="R14" s="61" t="s">
        <v>289</v>
      </c>
      <c r="S14" s="61" t="s">
        <v>290</v>
      </c>
      <c r="T14" s="61" t="s">
        <v>291</v>
      </c>
      <c r="U14" s="16"/>
    </row>
    <row r="15" spans="2:21" ht="18" customHeight="1" x14ac:dyDescent="0.4">
      <c r="B15" s="59"/>
      <c r="C15" s="415"/>
      <c r="D15" s="415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16"/>
    </row>
    <row r="16" spans="2:21" ht="18" customHeight="1" x14ac:dyDescent="0.4">
      <c r="B16" s="59"/>
      <c r="C16" s="56"/>
      <c r="D16" s="56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16"/>
      <c r="S16" s="16"/>
      <c r="T16" s="16"/>
      <c r="U16" s="16"/>
    </row>
    <row r="17" spans="2:21" ht="18" customHeight="1" x14ac:dyDescent="0.4">
      <c r="B17" s="59"/>
      <c r="C17" s="56"/>
      <c r="D17" s="56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16"/>
      <c r="S17" s="16"/>
      <c r="T17" s="16"/>
      <c r="U17" s="16"/>
    </row>
    <row r="18" spans="2:21" ht="18" customHeight="1" x14ac:dyDescent="0.4">
      <c r="B18" s="59"/>
      <c r="C18" s="56"/>
      <c r="D18" s="56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16"/>
      <c r="S18" s="16"/>
      <c r="T18" s="16"/>
      <c r="U18" s="16"/>
    </row>
  </sheetData>
  <sheetProtection selectLockedCells="1"/>
  <mergeCells count="14">
    <mergeCell ref="C2:L3"/>
    <mergeCell ref="C4:L6"/>
    <mergeCell ref="C8:D8"/>
    <mergeCell ref="C9:D9"/>
    <mergeCell ref="C10:D10"/>
    <mergeCell ref="E10:P10"/>
    <mergeCell ref="C15:D15"/>
    <mergeCell ref="C11:D11"/>
    <mergeCell ref="E11:P11"/>
    <mergeCell ref="C12:D12"/>
    <mergeCell ref="C13:D13"/>
    <mergeCell ref="E13:P13"/>
    <mergeCell ref="C14:D14"/>
    <mergeCell ref="E14:P14"/>
  </mergeCell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8"/>
  <dimension ref="A1:G18"/>
  <sheetViews>
    <sheetView workbookViewId="0">
      <selection activeCell="K28" sqref="K28"/>
    </sheetView>
  </sheetViews>
  <sheetFormatPr defaultRowHeight="16.8" x14ac:dyDescent="0.4"/>
  <sheetData>
    <row r="1" spans="1:7" x14ac:dyDescent="0.4">
      <c r="A1" s="176" t="s">
        <v>118</v>
      </c>
      <c r="B1" s="177"/>
      <c r="C1" s="178"/>
      <c r="D1" s="176" t="s">
        <v>673</v>
      </c>
      <c r="E1" s="177"/>
      <c r="F1" s="177"/>
      <c r="G1" s="178"/>
    </row>
    <row r="2" spans="1:7" x14ac:dyDescent="0.4">
      <c r="A2" s="176" t="s">
        <v>681</v>
      </c>
      <c r="B2" s="177"/>
      <c r="C2" s="178"/>
      <c r="D2" s="176" t="s">
        <v>680</v>
      </c>
      <c r="E2" s="177"/>
      <c r="F2" s="177"/>
      <c r="G2" s="178"/>
    </row>
    <row r="3" spans="1:7" x14ac:dyDescent="0.4">
      <c r="A3" s="176" t="s">
        <v>121</v>
      </c>
      <c r="B3" s="177"/>
      <c r="C3" s="178"/>
      <c r="D3" s="176" t="s">
        <v>677</v>
      </c>
      <c r="E3" s="177"/>
      <c r="F3" s="177"/>
      <c r="G3" s="178"/>
    </row>
    <row r="4" spans="1:7" x14ac:dyDescent="0.4">
      <c r="A4" s="176" t="s">
        <v>181</v>
      </c>
      <c r="B4" s="177"/>
      <c r="C4" s="178"/>
      <c r="D4" s="176" t="s">
        <v>670</v>
      </c>
      <c r="E4" s="177"/>
      <c r="F4" s="177"/>
      <c r="G4" s="178"/>
    </row>
    <row r="5" spans="1:7" x14ac:dyDescent="0.4">
      <c r="A5" s="176" t="s">
        <v>158</v>
      </c>
      <c r="B5" s="177"/>
      <c r="C5" s="178"/>
      <c r="D5" s="176" t="s">
        <v>669</v>
      </c>
      <c r="E5" s="177"/>
      <c r="F5" s="177"/>
      <c r="G5" s="178"/>
    </row>
    <row r="6" spans="1:7" x14ac:dyDescent="0.4">
      <c r="A6" s="176" t="s">
        <v>159</v>
      </c>
      <c r="B6" s="177"/>
      <c r="C6" s="178"/>
      <c r="D6" s="176" t="s">
        <v>664</v>
      </c>
      <c r="E6" s="177"/>
      <c r="F6" s="177"/>
      <c r="G6" s="178"/>
    </row>
    <row r="7" spans="1:7" x14ac:dyDescent="0.4">
      <c r="A7" s="176" t="s">
        <v>160</v>
      </c>
      <c r="B7" s="177"/>
      <c r="C7" s="178"/>
      <c r="D7" s="176" t="s">
        <v>665</v>
      </c>
      <c r="E7" s="177"/>
      <c r="F7" s="177"/>
      <c r="G7" s="178"/>
    </row>
    <row r="8" spans="1:7" x14ac:dyDescent="0.4">
      <c r="A8" s="176" t="s">
        <v>161</v>
      </c>
      <c r="B8" s="177"/>
      <c r="C8" s="178"/>
      <c r="D8" s="176" t="s">
        <v>666</v>
      </c>
      <c r="E8" s="177"/>
      <c r="F8" s="177"/>
      <c r="G8" s="178"/>
    </row>
    <row r="9" spans="1:7" x14ac:dyDescent="0.4">
      <c r="A9" s="176" t="s">
        <v>162</v>
      </c>
      <c r="B9" s="177"/>
      <c r="C9" s="178"/>
      <c r="D9" s="176" t="s">
        <v>667</v>
      </c>
      <c r="E9" s="177"/>
      <c r="F9" s="177"/>
      <c r="G9" s="178"/>
    </row>
    <row r="10" spans="1:7" x14ac:dyDescent="0.4">
      <c r="A10" s="176" t="s">
        <v>185</v>
      </c>
      <c r="B10" s="177"/>
      <c r="C10" s="178"/>
      <c r="D10" s="176" t="s">
        <v>672</v>
      </c>
      <c r="E10" s="177"/>
      <c r="F10" s="177"/>
      <c r="G10" s="178"/>
    </row>
    <row r="11" spans="1:7" x14ac:dyDescent="0.4">
      <c r="A11" s="176" t="s">
        <v>188</v>
      </c>
      <c r="B11" s="177"/>
      <c r="C11" s="178"/>
      <c r="D11" s="176" t="s">
        <v>671</v>
      </c>
      <c r="E11" s="177"/>
      <c r="F11" s="177"/>
      <c r="G11" s="178"/>
    </row>
    <row r="12" spans="1:7" x14ac:dyDescent="0.4">
      <c r="A12" s="176" t="s">
        <v>189</v>
      </c>
      <c r="B12" s="177"/>
      <c r="C12" s="178"/>
      <c r="D12" s="176" t="s">
        <v>671</v>
      </c>
      <c r="E12" s="177"/>
      <c r="F12" s="177"/>
      <c r="G12" s="178"/>
    </row>
    <row r="13" spans="1:7" x14ac:dyDescent="0.4">
      <c r="A13" s="176" t="s">
        <v>349</v>
      </c>
      <c r="B13" s="177"/>
      <c r="C13" s="178"/>
      <c r="D13" s="176" t="s">
        <v>674</v>
      </c>
      <c r="E13" s="177"/>
      <c r="F13" s="177"/>
      <c r="G13" s="178"/>
    </row>
    <row r="14" spans="1:7" x14ac:dyDescent="0.4">
      <c r="A14" s="176" t="s">
        <v>350</v>
      </c>
      <c r="B14" s="177"/>
      <c r="C14" s="178"/>
      <c r="D14" s="176" t="s">
        <v>675</v>
      </c>
      <c r="E14" s="177"/>
      <c r="F14" s="177"/>
      <c r="G14" s="178"/>
    </row>
    <row r="15" spans="1:7" x14ac:dyDescent="0.4">
      <c r="A15" s="176" t="s">
        <v>351</v>
      </c>
      <c r="B15" s="177"/>
      <c r="C15" s="178"/>
      <c r="D15" s="176" t="s">
        <v>676</v>
      </c>
      <c r="E15" s="177"/>
      <c r="F15" s="177"/>
      <c r="G15" s="178"/>
    </row>
    <row r="16" spans="1:7" x14ac:dyDescent="0.4">
      <c r="A16" s="176" t="s">
        <v>360</v>
      </c>
      <c r="B16" s="177"/>
      <c r="C16" s="178"/>
      <c r="D16" s="176" t="s">
        <v>668</v>
      </c>
      <c r="E16" s="177"/>
      <c r="F16" s="177"/>
      <c r="G16" s="178"/>
    </row>
    <row r="17" spans="1:7" x14ac:dyDescent="0.4">
      <c r="A17" s="176" t="s">
        <v>122</v>
      </c>
      <c r="B17" s="177"/>
      <c r="C17" s="178"/>
      <c r="D17" s="176"/>
      <c r="E17" s="177"/>
      <c r="F17" s="177"/>
      <c r="G17" s="178"/>
    </row>
    <row r="18" spans="1:7" x14ac:dyDescent="0.4">
      <c r="A18" s="176" t="s">
        <v>186</v>
      </c>
      <c r="B18" s="177"/>
      <c r="C18" s="178"/>
      <c r="D18" s="176"/>
      <c r="E18" s="177"/>
      <c r="F18" s="177"/>
      <c r="G18" s="178"/>
    </row>
  </sheetData>
  <mergeCells count="36">
    <mergeCell ref="A3:C3"/>
    <mergeCell ref="D3:G3"/>
    <mergeCell ref="A2:C2"/>
    <mergeCell ref="D2:G2"/>
    <mergeCell ref="A1:C1"/>
    <mergeCell ref="D1:G1"/>
    <mergeCell ref="A6:C6"/>
    <mergeCell ref="D6:G6"/>
    <mergeCell ref="A5:C5"/>
    <mergeCell ref="D5:G5"/>
    <mergeCell ref="A4:C4"/>
    <mergeCell ref="D4:G4"/>
    <mergeCell ref="A9:C9"/>
    <mergeCell ref="D9:G9"/>
    <mergeCell ref="A8:C8"/>
    <mergeCell ref="D8:G8"/>
    <mergeCell ref="A7:C7"/>
    <mergeCell ref="D7:G7"/>
    <mergeCell ref="A12:C12"/>
    <mergeCell ref="D12:G12"/>
    <mergeCell ref="A11:C11"/>
    <mergeCell ref="D11:G11"/>
    <mergeCell ref="A10:C10"/>
    <mergeCell ref="D10:G10"/>
    <mergeCell ref="A15:C15"/>
    <mergeCell ref="D15:G15"/>
    <mergeCell ref="A14:C14"/>
    <mergeCell ref="D14:G14"/>
    <mergeCell ref="A13:C13"/>
    <mergeCell ref="D13:G13"/>
    <mergeCell ref="A18:C18"/>
    <mergeCell ref="D18:G18"/>
    <mergeCell ref="A17:C17"/>
    <mergeCell ref="D17:G17"/>
    <mergeCell ref="A16:C16"/>
    <mergeCell ref="D16:G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110</vt:i4>
      </vt:variant>
    </vt:vector>
  </HeadingPairs>
  <TitlesOfParts>
    <vt:vector size="131" baseType="lpstr">
      <vt:lpstr>Administration and Change Log</vt:lpstr>
      <vt:lpstr>Inputs_</vt:lpstr>
      <vt:lpstr>ConCORDE_Info</vt:lpstr>
      <vt:lpstr>Parameters</vt:lpstr>
      <vt:lpstr>States</vt:lpstr>
      <vt:lpstr>Option_default</vt:lpstr>
      <vt:lpstr>Summary_default</vt:lpstr>
      <vt:lpstr>Inputs</vt:lpstr>
      <vt:lpstr>Outputs</vt:lpstr>
      <vt:lpstr>Design Process</vt:lpstr>
      <vt:lpstr>OVERVIEW</vt:lpstr>
      <vt:lpstr>Disturbances</vt:lpstr>
      <vt:lpstr>Sizing</vt:lpstr>
      <vt:lpstr>Actuators</vt:lpstr>
      <vt:lpstr>Sensors</vt:lpstr>
      <vt:lpstr>Constants &amp; Ref</vt:lpstr>
      <vt:lpstr>Auxiliar Information</vt:lpstr>
      <vt:lpstr>Model</vt:lpstr>
      <vt:lpstr>Database</vt:lpstr>
      <vt:lpstr>Actuators (2)</vt:lpstr>
      <vt:lpstr>Sheet6</vt:lpstr>
      <vt:lpstr>_ConCORDE_Info_</vt:lpstr>
      <vt:lpstr>_DomainOfExpertise_</vt:lpstr>
      <vt:lpstr>_EngineeringModel_</vt:lpstr>
      <vt:lpstr>_IterationNumber_</vt:lpstr>
      <vt:lpstr>_IterationRevision_</vt:lpstr>
      <vt:lpstr>_LastModifiedOn_</vt:lpstr>
      <vt:lpstr>_Person_</vt:lpstr>
      <vt:lpstr>altitude_p</vt:lpstr>
      <vt:lpstr>AOC\Att_ADCS\\</vt:lpstr>
      <vt:lpstr>AOC\CTL_SYS_TYP\\</vt:lpstr>
      <vt:lpstr>AOC\MAX_TEMP_ADCS\\</vt:lpstr>
      <vt:lpstr>AOC\MAX_THR_ARM\\</vt:lpstr>
      <vt:lpstr>AOC\MIN_TEMP_ADCS\\</vt:lpstr>
      <vt:lpstr>AOC\NUM_TRH\\</vt:lpstr>
      <vt:lpstr>AOC\SPN_AXS_ADCS\\</vt:lpstr>
      <vt:lpstr>AOC\SPN_ROT_VEL_ADCS\\</vt:lpstr>
      <vt:lpstr>AOC\THR_B_T\\</vt:lpstr>
      <vt:lpstr>AOC\THR_THRU\\</vt:lpstr>
      <vt:lpstr>AOC\Total_Mass_ADCS\\</vt:lpstr>
      <vt:lpstr>AOC\Total_Power_AOCS\\</vt:lpstr>
      <vt:lpstr>area_aero</vt:lpstr>
      <vt:lpstr>area_sun</vt:lpstr>
      <vt:lpstr>att_sun_pointing</vt:lpstr>
      <vt:lpstr>attitude</vt:lpstr>
      <vt:lpstr>aux_fields</vt:lpstr>
      <vt:lpstr>central_body</vt:lpstr>
      <vt:lpstr>cubesat</vt:lpstr>
      <vt:lpstr>DEG2RAD</vt:lpstr>
      <vt:lpstr>density_atm_p</vt:lpstr>
      <vt:lpstr>disturbance_torque_total</vt:lpstr>
      <vt:lpstr>drag_coef</vt:lpstr>
      <vt:lpstr>GM_earth</vt:lpstr>
      <vt:lpstr>GM_jupiter</vt:lpstr>
      <vt:lpstr>GM_mars</vt:lpstr>
      <vt:lpstr>GM_mercury</vt:lpstr>
      <vt:lpstr>GM_moon</vt:lpstr>
      <vt:lpstr>GM_saturn</vt:lpstr>
      <vt:lpstr>GM_sun</vt:lpstr>
      <vt:lpstr>GM_values</vt:lpstr>
      <vt:lpstr>GM_venus</vt:lpstr>
      <vt:lpstr>gravitational_constant</vt:lpstr>
      <vt:lpstr>gravity_std</vt:lpstr>
      <vt:lpstr>I_max</vt:lpstr>
      <vt:lpstr>I_min</vt:lpstr>
      <vt:lpstr>inertia_m_x</vt:lpstr>
      <vt:lpstr>inertia_m_y</vt:lpstr>
      <vt:lpstr>inertia_m_z</vt:lpstr>
      <vt:lpstr>irr_max</vt:lpstr>
      <vt:lpstr>mag_dipole_sat_default</vt:lpstr>
      <vt:lpstr>mag_m_cb_default</vt:lpstr>
      <vt:lpstr>mag_m_earth</vt:lpstr>
      <vt:lpstr>magnetic_moment_central_body</vt:lpstr>
      <vt:lpstr>mass</vt:lpstr>
      <vt:lpstr>max_dev_default</vt:lpstr>
      <vt:lpstr>max_slew_angle_default</vt:lpstr>
      <vt:lpstr>min_slew_man_t_default</vt:lpstr>
      <vt:lpstr>MIS\focus\\</vt:lpstr>
      <vt:lpstr>MIS\irr_max\\</vt:lpstr>
      <vt:lpstr>MIS\T_d\\</vt:lpstr>
      <vt:lpstr>MIS\v_p\\</vt:lpstr>
      <vt:lpstr>MIS\Z_peri\\</vt:lpstr>
      <vt:lpstr>mw_angular_vel_default</vt:lpstr>
      <vt:lpstr>mw_max_deviation_angle_default</vt:lpstr>
      <vt:lpstr>Parameters</vt:lpstr>
      <vt:lpstr>period</vt:lpstr>
      <vt:lpstr>pointing_precision</vt:lpstr>
      <vt:lpstr>power</vt:lpstr>
      <vt:lpstr>OVERVIEW!Print_Area</vt:lpstr>
      <vt:lpstr>PWR\reffac\\</vt:lpstr>
      <vt:lpstr>R_earth</vt:lpstr>
      <vt:lpstr>R_moon</vt:lpstr>
      <vt:lpstr>R_values</vt:lpstr>
      <vt:lpstr>RAD2DEG</vt:lpstr>
      <vt:lpstr>radius_p</vt:lpstr>
      <vt:lpstr>Range_default</vt:lpstr>
      <vt:lpstr>reflectivity_factor</vt:lpstr>
      <vt:lpstr>RPM2RADS</vt:lpstr>
      <vt:lpstr>rw_sm</vt:lpstr>
      <vt:lpstr>rw_sm_default</vt:lpstr>
      <vt:lpstr>sat_dim_x</vt:lpstr>
      <vt:lpstr>sat_dim_y</vt:lpstr>
      <vt:lpstr>sat_dim_z</vt:lpstr>
      <vt:lpstr>SolarF_earth</vt:lpstr>
      <vt:lpstr>speed_of_light</vt:lpstr>
      <vt:lpstr>spin_axis</vt:lpstr>
      <vt:lpstr>spin_rot_vel</vt:lpstr>
      <vt:lpstr>stabilisation</vt:lpstr>
      <vt:lpstr>States</vt:lpstr>
      <vt:lpstr>STR\drag_coef\\</vt:lpstr>
      <vt:lpstr>STR\Ix\\</vt:lpstr>
      <vt:lpstr>STR\Iy\\</vt:lpstr>
      <vt:lpstr>STR\Iz\\</vt:lpstr>
      <vt:lpstr>STR\l_x\\</vt:lpstr>
      <vt:lpstr>STR\l_y\\</vt:lpstr>
      <vt:lpstr>STR\l_z\\</vt:lpstr>
      <vt:lpstr>STR\STR_PRY_AREA\\</vt:lpstr>
      <vt:lpstr>sun_incident_ang_default</vt:lpstr>
      <vt:lpstr>Switch</vt:lpstr>
      <vt:lpstr>SYS\point_acc\\</vt:lpstr>
      <vt:lpstr>temp_max</vt:lpstr>
      <vt:lpstr>temp_min</vt:lpstr>
      <vt:lpstr>thrusters_arm_max</vt:lpstr>
      <vt:lpstr>thrusters_b_time</vt:lpstr>
      <vt:lpstr>thrusters_desaturation_t_b_default</vt:lpstr>
      <vt:lpstr>thrusters_max_arm</vt:lpstr>
      <vt:lpstr>thrusters_num</vt:lpstr>
      <vt:lpstr>thrusters_slew_rate_default</vt:lpstr>
      <vt:lpstr>thrusters_tb_slew_rate_default</vt:lpstr>
      <vt:lpstr>thrusters_thrust</vt:lpstr>
      <vt:lpstr>velocity_p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2020-12-27T17:09:57Z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Identifier">
    <vt:lpwstr>{"EngineeringModel":"c995d67c-51ed-49f5-ac5e-08d4c40153c4","DomainOfExpertise":"2696d9eb-7715-4bb1-bf3f-5c44c1cbc5ab"}</vt:lpwstr>
  </property>
</Properties>
</file>